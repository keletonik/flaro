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AIRS" sheetId="1" state="visible" r:id="rId3"/>
    <sheet name="NOTES LOG" sheetId="2" state="visible" r:id="rId4"/>
    <sheet name="ACTION LIST" sheetId="3" state="visible" r:id="rId5"/>
    <sheet name="QUOTES" sheetId="4" state="visible" r:id="rId6"/>
    <sheet name="DASHBOARD" sheetId="5" state="visible" r:id="rId7"/>
    <sheet name="ANALYTICS" sheetId="6" state="visible" r:id="rId8"/>
    <sheet name="FINANCIAL" sheetId="7" state="visible" r:id="rId9"/>
    <sheet name="SCHEDULE REGISTER" sheetId="8" state="visible" r:id="rId10"/>
    <sheet name="TECHNICIAN KPI" sheetId="9" state="visible" r:id="rId11"/>
    <sheet name="CLIENT BREAKDOWN" sheetId="10" state="visible" r:id="rId12"/>
  </sheets>
  <definedNames>
    <definedName function="false" hidden="true" localSheetId="2" name="_xlnm._FilterDatabase" vbProcedure="false">'ACTION LIST'!$A$4:$M$183</definedName>
    <definedName function="false" hidden="true" localSheetId="3" name="_xlnm._FilterDatabase" vbProcedure="false">QUOTES!$A$3:$J$89</definedName>
    <definedName function="false" hidden="true" localSheetId="0" name="_xlnm._FilterDatabase" vbProcedure="false">REPAIRS!$A$7:$L$130</definedName>
    <definedName function="false" hidden="true" localSheetId="7" name="_xlnm._FilterDatabase" vbProcedure="false">'SCHEDULE REGISTER'!$A$3:$K$183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<sst xmlns="http://schemas.openxmlformats.org/spreadsheetml/2006/main" count="4192" uniqueCount="1198">
  <si>
    <t xml:space="preserve">  Flamesafe Fire  —  Repairs Register  ·  08 April 2026</t>
  </si>
  <si>
    <t xml:space="preserve">  123 active repairs  ·  Total value: $458,419  ·  Authorised: $447,319  ·  Unassigned: $156,756  ·  Sorted: highest priority first  ·  Use filters + dropdowns to organise</t>
  </si>
  <si>
    <t xml:space="preserve">AUTHORISED — SCHEDULE NOW</t>
  </si>
  <si>
    <t xml:space="preserve">UNASSIGNED — DISPATCH NOW</t>
  </si>
  <si>
    <t xml:space="preserve">CRITICAL PRIORITY</t>
  </si>
  <si>
    <t xml:space="preserve">HIGH PRIORITY</t>
  </si>
  <si>
    <t xml:space="preserve">PRIORITY</t>
  </si>
  <si>
    <t xml:space="preserve">REF</t>
  </si>
  <si>
    <t xml:space="preserve">PROPERTY / SITE</t>
  </si>
  <si>
    <t xml:space="preserve">CLIENT</t>
  </si>
  <si>
    <t xml:space="preserve">DAYS OPEN</t>
  </si>
  <si>
    <t xml:space="preserve">STATUS</t>
  </si>
  <si>
    <t xml:space="preserve">TECHNICIAN</t>
  </si>
  <si>
    <t xml:space="preserve">VALUE ($)</t>
  </si>
  <si>
    <t xml:space="preserve">AUTH ($)</t>
  </si>
  <si>
    <t xml:space="preserve">SCHED DATE</t>
  </si>
  <si>
    <t xml:space="preserve">INVOICED</t>
  </si>
  <si>
    <t xml:space="preserve">NOTES / ACTION</t>
  </si>
  <si>
    <t xml:space="preserve">CRITICAL</t>
  </si>
  <si>
    <t xml:space="preserve">T-33490</t>
  </si>
  <si>
    <t xml:space="preserve">Costas - 4 Beach Street, Eastern Creek, NSW 2766</t>
  </si>
  <si>
    <t xml:space="preserve">Lendlease Real Estate Investme</t>
  </si>
  <si>
    <t xml:space="preserve">REVISIT</t>
  </si>
  <si>
    <t xml:space="preserve">Gordon Jenkins</t>
  </si>
  <si>
    <t xml:space="preserve">No</t>
  </si>
  <si>
    <t xml:space="preserve">T-19009</t>
  </si>
  <si>
    <t xml:space="preserve">MONDC - 13 Bushmaster Avenue, Moorebank, NSW 2170</t>
  </si>
  <si>
    <t xml:space="preserve">Primary Connect</t>
  </si>
  <si>
    <t xml:space="preserve">T-20036</t>
  </si>
  <si>
    <t xml:space="preserve">Foothills Distribution Centre - 30 Lidco Street, A</t>
  </si>
  <si>
    <t xml:space="preserve">The Trustee For Gemstone Arnde</t>
  </si>
  <si>
    <t xml:space="preserve">T-09869</t>
  </si>
  <si>
    <t xml:space="preserve">Impact International - Cnr Victoria and O’Connell </t>
  </si>
  <si>
    <t xml:space="preserve">Impact International</t>
  </si>
  <si>
    <t xml:space="preserve">Bailey Arthur</t>
  </si>
  <si>
    <t xml:space="preserve">T-12542</t>
  </si>
  <si>
    <t xml:space="preserve">Pittking Properties - 175-181 Oxford Street, Bondi</t>
  </si>
  <si>
    <t xml:space="preserve">C/- Steven Krulis Real Estate </t>
  </si>
  <si>
    <t xml:space="preserve">John Minai</t>
  </si>
  <si>
    <t xml:space="preserve">T-14463</t>
  </si>
  <si>
    <t xml:space="preserve">Kraft Heinz - 92-96 Station Road, Seven Hills, NSW</t>
  </si>
  <si>
    <t xml:space="preserve">Kraft-Heinz Co Australia Ltd</t>
  </si>
  <si>
    <t xml:space="preserve">T-12370</t>
  </si>
  <si>
    <t xml:space="preserve">Frutex - 20 St Albans Road, Kingsgrove, NSW 2208</t>
  </si>
  <si>
    <t xml:space="preserve">Sterilisation Technologies Aus</t>
  </si>
  <si>
    <t xml:space="preserve">T-26046</t>
  </si>
  <si>
    <t xml:space="preserve">28 Percival Road, Smithfield, NSW 2164</t>
  </si>
  <si>
    <t xml:space="preserve">Nu Unasa</t>
  </si>
  <si>
    <t xml:space="preserve">T-33630</t>
  </si>
  <si>
    <t xml:space="preserve">Baxter - 164 Newton Road, Wetherill Park, NSW 2164</t>
  </si>
  <si>
    <t xml:space="preserve">Centuria Property Funds No. 2 </t>
  </si>
  <si>
    <t xml:space="preserve">T-30892</t>
  </si>
  <si>
    <t xml:space="preserve">144 Hartley Road, Smeaton Grange, NSW 2567</t>
  </si>
  <si>
    <t xml:space="preserve">Centuria Institutional Investm</t>
  </si>
  <si>
    <t xml:space="preserve">READY</t>
  </si>
  <si>
    <t xml:space="preserve">HIGH</t>
  </si>
  <si>
    <t xml:space="preserve">T-17558</t>
  </si>
  <si>
    <t xml:space="preserve">Pengton - 80 George Street, Parramatta, NSW 2150</t>
  </si>
  <si>
    <t xml:space="preserve">Pengton No. 1 Pty Ltd ATF Peng</t>
  </si>
  <si>
    <t xml:space="preserve">T-23333</t>
  </si>
  <si>
    <t xml:space="preserve">T-20080</t>
  </si>
  <si>
    <t xml:space="preserve">Elizabeth Towers -  418A Elizabeth Street, Surry H</t>
  </si>
  <si>
    <t xml:space="preserve">X Commercial</t>
  </si>
  <si>
    <t xml:space="preserve">T-26002</t>
  </si>
  <si>
    <t xml:space="preserve">ACU - Building 600-650 - 25a Baker Road, Strathfie</t>
  </si>
  <si>
    <t xml:space="preserve">Australian Catholic Universiti</t>
  </si>
  <si>
    <t xml:space="preserve">Yes</t>
  </si>
  <si>
    <t xml:space="preserve">T-25482</t>
  </si>
  <si>
    <t xml:space="preserve">Jaycar Electronics Group - 46 Eastern Creek Drive,</t>
  </si>
  <si>
    <t xml:space="preserve">Electus Distribution Pty Ltd</t>
  </si>
  <si>
    <t xml:space="preserve">T-16225</t>
  </si>
  <si>
    <t xml:space="preserve">Labour Council of NSW - 377-383 Sussex Street, Syd</t>
  </si>
  <si>
    <t xml:space="preserve">Unions NSW Property and Servic</t>
  </si>
  <si>
    <t xml:space="preserve">T-19012</t>
  </si>
  <si>
    <t xml:space="preserve">Ontex - 5 Wonderland Drive, Eastern Creek, NSW 276</t>
  </si>
  <si>
    <t xml:space="preserve">One Funds Management Limited A</t>
  </si>
  <si>
    <t xml:space="preserve">T-14358</t>
  </si>
  <si>
    <t xml:space="preserve">Visy Recycling - 112 Euston Road, Alexandria, NSW </t>
  </si>
  <si>
    <t xml:space="preserve">Jones Lang LaSalle (NSW) Pty L</t>
  </si>
  <si>
    <t xml:space="preserve">T-23677</t>
  </si>
  <si>
    <t xml:space="preserve">T-22186</t>
  </si>
  <si>
    <t xml:space="preserve">Union NSW - 4-10 Goulburn Street, Sydney, NSW 2000</t>
  </si>
  <si>
    <t xml:space="preserve">C/- Colliers Int’l Pty Ltd</t>
  </si>
  <si>
    <t xml:space="preserve">T-19273</t>
  </si>
  <si>
    <t xml:space="preserve">Metrolink Corporate Park - 197-201 Coward Street  </t>
  </si>
  <si>
    <t xml:space="preserve">The Trust Company (Australia) </t>
  </si>
  <si>
    <t xml:space="preserve">T-25283</t>
  </si>
  <si>
    <t xml:space="preserve">Resolution X - 21B Richmond Road, Homebush West, N</t>
  </si>
  <si>
    <t xml:space="preserve">Cranden Investments Pty Ltd</t>
  </si>
  <si>
    <t xml:space="preserve">T-13540</t>
  </si>
  <si>
    <t xml:space="preserve">223-225 Liverpool Street, Darlinghurst, NSW 2010</t>
  </si>
  <si>
    <t xml:space="preserve">Forza Capital Pty Ltd ATF Forz</t>
  </si>
  <si>
    <t xml:space="preserve">T-17260</t>
  </si>
  <si>
    <t xml:space="preserve">Fred Health &amp; Bleach - 24 Rothschild, Rosebery, NS</t>
  </si>
  <si>
    <t xml:space="preserve">C/- TGC</t>
  </si>
  <si>
    <t xml:space="preserve">Ryan Robinson</t>
  </si>
  <si>
    <t xml:space="preserve">T-05579</t>
  </si>
  <si>
    <t xml:space="preserve">1 Wentworth Street, Parramatta, NSW 2150</t>
  </si>
  <si>
    <t xml:space="preserve">N G P Investments (no 2) Pty L</t>
  </si>
  <si>
    <t xml:space="preserve">Darren Brailey</t>
  </si>
  <si>
    <t xml:space="preserve">T-13630</t>
  </si>
  <si>
    <t xml:space="preserve">49 Hotham Parade, Artarmon, NSW 2064</t>
  </si>
  <si>
    <t xml:space="preserve">T-16132</t>
  </si>
  <si>
    <t xml:space="preserve">Australasia Chambers - 2 Martin Place, Sydney, NSW</t>
  </si>
  <si>
    <t xml:space="preserve">Paspaley Pearls Properties Pty</t>
  </si>
  <si>
    <t xml:space="preserve">T-23206</t>
  </si>
  <si>
    <t xml:space="preserve">28 Britton Street, Smithfield</t>
  </si>
  <si>
    <t xml:space="preserve">CBIIP 28B Pty Ltd</t>
  </si>
  <si>
    <t xml:space="preserve">T-21019</t>
  </si>
  <si>
    <t xml:space="preserve">Goodman Fielder - 16 Templar Rd, Erskine Park, NSW</t>
  </si>
  <si>
    <t xml:space="preserve">Goodman Fielder Consumer Foods</t>
  </si>
  <si>
    <t xml:space="preserve">T-19016</t>
  </si>
  <si>
    <t xml:space="preserve">Westlands Industrial Estate - 33-45 James Erskine </t>
  </si>
  <si>
    <t xml:space="preserve">Knight Frank</t>
  </si>
  <si>
    <t xml:space="preserve">T-22476</t>
  </si>
  <si>
    <t xml:space="preserve">Pacific Square - 717 Anzac Parade, Maroubra, NSW 2</t>
  </si>
  <si>
    <t xml:space="preserve">Excel Building Management</t>
  </si>
  <si>
    <t xml:space="preserve">T-23039</t>
  </si>
  <si>
    <t xml:space="preserve">77 Scott Avenue, Leura, NSW 2780</t>
  </si>
  <si>
    <t xml:space="preserve">Yao Kai Pty Ltd</t>
  </si>
  <si>
    <t xml:space="preserve">T-12719</t>
  </si>
  <si>
    <t xml:space="preserve">20-22 Mons Road, Westmead, NSW 2145</t>
  </si>
  <si>
    <t xml:space="preserve">Barwon Investment Partners Pty</t>
  </si>
  <si>
    <t xml:space="preserve">T-25088</t>
  </si>
  <si>
    <t xml:space="preserve">Goodman AU210 - Gateway Industrial Estate - Buildi</t>
  </si>
  <si>
    <t xml:space="preserve">Goodman Property Services (Aus</t>
  </si>
  <si>
    <t xml:space="preserve">T-26206</t>
  </si>
  <si>
    <t xml:space="preserve">Goodman AU877 - Silverwater D/C - Light &amp; Wonder -</t>
  </si>
  <si>
    <t xml:space="preserve">T-12700</t>
  </si>
  <si>
    <t xml:space="preserve">Goodman AU099 - 31 Heathcote Road, Moorebank, NSW,</t>
  </si>
  <si>
    <t xml:space="preserve">T-22478</t>
  </si>
  <si>
    <t xml:space="preserve">SP 74790 - The Panorama - 717 Anzac Parade  Maroub</t>
  </si>
  <si>
    <t xml:space="preserve">T-13526</t>
  </si>
  <si>
    <t xml:space="preserve">SP 722 - 167 Victoria Road, Bellevue Hill, NSW 202</t>
  </si>
  <si>
    <t xml:space="preserve">Strata Plan 722</t>
  </si>
  <si>
    <t xml:space="preserve">T-25090</t>
  </si>
  <si>
    <t xml:space="preserve">Mercedes Benz - 43-47 O’Riordan Street, Alexandria</t>
  </si>
  <si>
    <t xml:space="preserve">LSH Auto (Sydney) Pty Ltd</t>
  </si>
  <si>
    <t xml:space="preserve">T-27443</t>
  </si>
  <si>
    <t xml:space="preserve">ARBOUR - 63-65 Burrows Road, Alexandria, NSW 2015</t>
  </si>
  <si>
    <t xml:space="preserve">Arbor Property</t>
  </si>
  <si>
    <t xml:space="preserve">T-24611</t>
  </si>
  <si>
    <t xml:space="preserve">De Luxe - 7 Blackfriars Street, Chippendale, NSW 2</t>
  </si>
  <si>
    <t xml:space="preserve">DS Holdings and de Luxe Nomine</t>
  </si>
  <si>
    <t xml:space="preserve">T-19704</t>
  </si>
  <si>
    <t xml:space="preserve">The Kitchenary - 27 Holbeche Road, Arndell Park, N</t>
  </si>
  <si>
    <t xml:space="preserve">The Kitchenary Pty Ltd</t>
  </si>
  <si>
    <t xml:space="preserve">T-19670</t>
  </si>
  <si>
    <t xml:space="preserve">Linfox Workshop Service Centre - 65 Lenore Drive, </t>
  </si>
  <si>
    <t xml:space="preserve">Linfox Australia</t>
  </si>
  <si>
    <t xml:space="preserve">T-19049</t>
  </si>
  <si>
    <t xml:space="preserve">Compass Centre - 85 North Terrace Bankstown, NSW 2</t>
  </si>
  <si>
    <t xml:space="preserve">T-15516</t>
  </si>
  <si>
    <t xml:space="preserve">88 Phillip Street, Parramatta, NSW 2150</t>
  </si>
  <si>
    <t xml:space="preserve">AM Property Plus C/- IOOF Inve</t>
  </si>
  <si>
    <t xml:space="preserve">T-15015</t>
  </si>
  <si>
    <t xml:space="preserve">11 Hexham Place, Wetherill Park, NSW 2164</t>
  </si>
  <si>
    <t xml:space="preserve">CSOF Sub Trust No. 2 ABN 52 84</t>
  </si>
  <si>
    <t xml:space="preserve">T-10160</t>
  </si>
  <si>
    <t xml:space="preserve">Northcote Pottery Australia - 2 Distribution Place</t>
  </si>
  <si>
    <t xml:space="preserve">Grand Hill Pty Ltd</t>
  </si>
  <si>
    <t xml:space="preserve">T-14357</t>
  </si>
  <si>
    <t xml:space="preserve">Zirco Data -  1 Johnson Road, Campbelltown, NSW 25</t>
  </si>
  <si>
    <t xml:space="preserve">Lendlease Funds Management Ltd</t>
  </si>
  <si>
    <t xml:space="preserve">T-13935</t>
  </si>
  <si>
    <t xml:space="preserve">T-31022</t>
  </si>
  <si>
    <t xml:space="preserve">YORKAY - 131 York Street, Sydney, NSW 2000</t>
  </si>
  <si>
    <t xml:space="preserve">C/- MMJ Sydney Pty Ltd</t>
  </si>
  <si>
    <t xml:space="preserve">T-29184</t>
  </si>
  <si>
    <t xml:space="preserve">Sebel - 48 Airds Road, Minto, NSW 2566</t>
  </si>
  <si>
    <t xml:space="preserve">KNAPP &amp; Associates</t>
  </si>
  <si>
    <t xml:space="preserve">T-31757</t>
  </si>
  <si>
    <t xml:space="preserve">D.J.Wear - 117 York Street, Sydney, NSW 2000</t>
  </si>
  <si>
    <t xml:space="preserve">117 York Street Pty Limited</t>
  </si>
  <si>
    <t xml:space="preserve">T-30824</t>
  </si>
  <si>
    <t xml:space="preserve">Goodman AU002 - Slough Business Park - 2 Slough Av</t>
  </si>
  <si>
    <t xml:space="preserve">T-33542</t>
  </si>
  <si>
    <t xml:space="preserve">Building B1, B2, B3 - 5 Williamson Rd, Ingleburn N</t>
  </si>
  <si>
    <t xml:space="preserve">Ingleburn Industrial Property </t>
  </si>
  <si>
    <t xml:space="preserve">T-31417</t>
  </si>
  <si>
    <t xml:space="preserve">Cotton King - 95 Bonds Road,  Punchbowl, NSW 2196</t>
  </si>
  <si>
    <t xml:space="preserve">Uturn Reuse Pty Limited</t>
  </si>
  <si>
    <t xml:space="preserve">T-28546</t>
  </si>
  <si>
    <t xml:space="preserve">ACU - Building 502 - 40 Edward Street, North Sydne</t>
  </si>
  <si>
    <t xml:space="preserve">T-31091</t>
  </si>
  <si>
    <t xml:space="preserve">Linfox - 3 Harris Avenue, Marsden Park, NSW 2765</t>
  </si>
  <si>
    <t xml:space="preserve">T-32774</t>
  </si>
  <si>
    <t xml:space="preserve">Toll - 11A Greenhills Avenue, Moorebank, NSW 2170</t>
  </si>
  <si>
    <t xml:space="preserve">Vassk Investments Pty Ltd ATF </t>
  </si>
  <si>
    <t xml:space="preserve">Nick Hollingsworth</t>
  </si>
  <si>
    <t xml:space="preserve">T-34390</t>
  </si>
  <si>
    <t xml:space="preserve">Goodman AU240 - Park View Business Park - 3 Talave</t>
  </si>
  <si>
    <t xml:space="preserve">T-31974</t>
  </si>
  <si>
    <t xml:space="preserve">Club Ashfield - 1-11 Charlotte Street, Ashfield, N</t>
  </si>
  <si>
    <t xml:space="preserve">Ashfield Catholic &amp; Community </t>
  </si>
  <si>
    <t xml:space="preserve">T-31153</t>
  </si>
  <si>
    <t xml:space="preserve">T-29386</t>
  </si>
  <si>
    <t xml:space="preserve">30 Loftus Road, Yennora , NSW 2161</t>
  </si>
  <si>
    <t xml:space="preserve">West Infill Sub TC PTY LTD ATF</t>
  </si>
  <si>
    <t xml:space="preserve">T-28547</t>
  </si>
  <si>
    <t xml:space="preserve">ACU - Building 520 - 3 Berry Street, North Sydney,</t>
  </si>
  <si>
    <t xml:space="preserve">T-29685</t>
  </si>
  <si>
    <t xml:space="preserve">N&amp;A &amp; ACR - 10-12 Distribution Drive, Orchard Hill</t>
  </si>
  <si>
    <t xml:space="preserve">TCAL ATF Altis Bulky Sub Trust</t>
  </si>
  <si>
    <t xml:space="preserve">T-32615</t>
  </si>
  <si>
    <t xml:space="preserve">PFM Corp (BLDG 2) - 147-151 Newton Road, Wetherill</t>
  </si>
  <si>
    <t xml:space="preserve">Kenneth R Moras Property Holdi</t>
  </si>
  <si>
    <t xml:space="preserve">T-33494</t>
  </si>
  <si>
    <t xml:space="preserve">Space 207 - 207 Pacific Highway, St Leonards, NSW </t>
  </si>
  <si>
    <t xml:space="preserve">Altis Bulky Retail ATF Altis B</t>
  </si>
  <si>
    <t xml:space="preserve">T-32351</t>
  </si>
  <si>
    <t xml:space="preserve">Goodman AU002 - Slough Business Park - Block A Uni</t>
  </si>
  <si>
    <t xml:space="preserve">T-33860</t>
  </si>
  <si>
    <t xml:space="preserve">City of Parramatta Council - 9 Wentworth Street, P</t>
  </si>
  <si>
    <t xml:space="preserve">T-36512</t>
  </si>
  <si>
    <t xml:space="preserve">COLES RRM - 54 Templar Road, Erskine Park, NSW 275</t>
  </si>
  <si>
    <t xml:space="preserve">Retail Ready Operations Austra</t>
  </si>
  <si>
    <t xml:space="preserve">T-26567</t>
  </si>
  <si>
    <t xml:space="preserve">28 Rodborough Road, Frenchs Forest, NSW 2086</t>
  </si>
  <si>
    <t xml:space="preserve">SCHEDULED</t>
  </si>
  <si>
    <t xml:space="preserve">T-21783</t>
  </si>
  <si>
    <t xml:space="preserve">TRS - 170 Newton Road, Wetherill Park, NSW 2164</t>
  </si>
  <si>
    <t xml:space="preserve">Newton Road Holdings Pty Ltd</t>
  </si>
  <si>
    <t xml:space="preserve">T-11638</t>
  </si>
  <si>
    <t xml:space="preserve">Bronson &amp; Jacobs - 70 Marple Avenue, Villawood, NS</t>
  </si>
  <si>
    <t xml:space="preserve">George Vasili &amp; Nick Vasili C/</t>
  </si>
  <si>
    <t xml:space="preserve">T-38842</t>
  </si>
  <si>
    <t xml:space="preserve">15-19 McPherson St, Banksmeadow, NSW 2019</t>
  </si>
  <si>
    <t xml:space="preserve">Roth Industrial</t>
  </si>
  <si>
    <t xml:space="preserve">T-36078</t>
  </si>
  <si>
    <t xml:space="preserve">Silverwater Industrial Park -  Corner Fariola St, </t>
  </si>
  <si>
    <t xml:space="preserve">T-11659</t>
  </si>
  <si>
    <t xml:space="preserve">CEVA - 9-11 Distribution Drive, Orchard Hills, NSW</t>
  </si>
  <si>
    <t xml:space="preserve">T-24771</t>
  </si>
  <si>
    <t xml:space="preserve">Goodman AU058 - Bungaribee Industrial Estate - 71 </t>
  </si>
  <si>
    <t xml:space="preserve">T-28579</t>
  </si>
  <si>
    <t xml:space="preserve">7 Box Road, Taren Point, NSW 2229</t>
  </si>
  <si>
    <t xml:space="preserve">7 Box Sub TC Pty Ltd ATF 7 Box</t>
  </si>
  <si>
    <t xml:space="preserve">T-36205</t>
  </si>
  <si>
    <t xml:space="preserve">Centennial Park - Grand Drive Sydney NSW 2021</t>
  </si>
  <si>
    <t xml:space="preserve">Greater Sydney Parklands C/ - </t>
  </si>
  <si>
    <t xml:space="preserve">T-36204</t>
  </si>
  <si>
    <t xml:space="preserve">T-39040</t>
  </si>
  <si>
    <t xml:space="preserve">Goodman AU019 - Transtech Business Park - 12 Mars </t>
  </si>
  <si>
    <t xml:space="preserve">MEDIUM</t>
  </si>
  <si>
    <t xml:space="preserve">T-38941</t>
  </si>
  <si>
    <t xml:space="preserve">T-09968</t>
  </si>
  <si>
    <t xml:space="preserve">1A The Crescent,  Kingsgrove, NSW 2208</t>
  </si>
  <si>
    <t xml:space="preserve">Vanessa Aus Sub TC Pty Ltd ATF</t>
  </si>
  <si>
    <t xml:space="preserve">T-36070</t>
  </si>
  <si>
    <t xml:space="preserve">Goodman AU059 - Lidcombe Business Park - Building </t>
  </si>
  <si>
    <t xml:space="preserve">T-35278</t>
  </si>
  <si>
    <t xml:space="preserve">609-615 Harris Street, Ultimo, NSW 2007</t>
  </si>
  <si>
    <t xml:space="preserve">Clara &amp; Matthew Pty Ltd</t>
  </si>
  <si>
    <t xml:space="preserve">T-38380</t>
  </si>
  <si>
    <t xml:space="preserve">T-26708</t>
  </si>
  <si>
    <t xml:space="preserve">Goodman AU546 - Interlink Industrial Estate - 28 S</t>
  </si>
  <si>
    <t xml:space="preserve">T-03094</t>
  </si>
  <si>
    <t xml:space="preserve">LOGOS - Sigma Healthcare - 2 Imperata Close, Kemps</t>
  </si>
  <si>
    <t xml:space="preserve">Logos Property Management Pty </t>
  </si>
  <si>
    <t xml:space="preserve">T-22247</t>
  </si>
  <si>
    <t xml:space="preserve">T-39042</t>
  </si>
  <si>
    <t xml:space="preserve">T-38611</t>
  </si>
  <si>
    <t xml:space="preserve">White Horse - 381 Crown St, Surry Hills</t>
  </si>
  <si>
    <t xml:space="preserve">PDC Tech Pty Ltd</t>
  </si>
  <si>
    <t xml:space="preserve">T-23236</t>
  </si>
  <si>
    <t xml:space="preserve">Storhub - 128 Milperra Road, Revesby, NSW 2212</t>
  </si>
  <si>
    <t xml:space="preserve">StorHub Australia</t>
  </si>
  <si>
    <t xml:space="preserve">T-17666</t>
  </si>
  <si>
    <t xml:space="preserve">T-33543</t>
  </si>
  <si>
    <t xml:space="preserve">ACU - Building 533 - 33 Berry Street, North Sydney</t>
  </si>
  <si>
    <t xml:space="preserve">INPROGRESS</t>
  </si>
  <si>
    <t xml:space="preserve">T-14097</t>
  </si>
  <si>
    <t xml:space="preserve">AUSTCOR - 159-163 Newton Road  Wetherell Park, NSW</t>
  </si>
  <si>
    <t xml:space="preserve">Aliro Trusco 1 Pty Ltd ATF the</t>
  </si>
  <si>
    <t xml:space="preserve">T-17897</t>
  </si>
  <si>
    <t xml:space="preserve">Andrews Meats - 38 Birnie Avenue, Lidcombe, NSW 21</t>
  </si>
  <si>
    <t xml:space="preserve">Andrews Meat Industries Pty Lt</t>
  </si>
  <si>
    <t xml:space="preserve">T-36567</t>
  </si>
  <si>
    <t xml:space="preserve">T-36568</t>
  </si>
  <si>
    <t xml:space="preserve">T-22477</t>
  </si>
  <si>
    <t xml:space="preserve">SP 74405 - The Northerly - 717 Anzac Parade  Marou</t>
  </si>
  <si>
    <t xml:space="preserve">T-32310</t>
  </si>
  <si>
    <t xml:space="preserve">NKS - 2 Eden Park Drive, Macquarie Park, NSW 2113</t>
  </si>
  <si>
    <t xml:space="preserve">Nks (NSW) Pty Ltd C/- Dunnet P</t>
  </si>
  <si>
    <t xml:space="preserve">Hugo</t>
  </si>
  <si>
    <t xml:space="preserve">T-12518</t>
  </si>
  <si>
    <t xml:space="preserve">2A / 2B Culverston Road, Minto, NSW, 2566</t>
  </si>
  <si>
    <t xml:space="preserve">The Trust Company Limited in i</t>
  </si>
  <si>
    <t xml:space="preserve">T-38790</t>
  </si>
  <si>
    <t xml:space="preserve">T-14356</t>
  </si>
  <si>
    <t xml:space="preserve">36 Honeycomb Drive, Eastern Creek, NSW 2766</t>
  </si>
  <si>
    <t xml:space="preserve">T-36635</t>
  </si>
  <si>
    <t xml:space="preserve">T-28601</t>
  </si>
  <si>
    <t xml:space="preserve">Ya Zhou Wen Hua Enterprises - 541-543 Kent Street,</t>
  </si>
  <si>
    <t xml:space="preserve">C/- ED Realty</t>
  </si>
  <si>
    <t xml:space="preserve">T-28480</t>
  </si>
  <si>
    <t xml:space="preserve">State Library of NSW - 1 Shakespeare Place, Sydney</t>
  </si>
  <si>
    <t xml:space="preserve">State Library of NSW</t>
  </si>
  <si>
    <t xml:space="preserve">T-32509</t>
  </si>
  <si>
    <t xml:space="preserve">26 Nelson Road, Yennora, NSW 2161</t>
  </si>
  <si>
    <t xml:space="preserve">T-33531</t>
  </si>
  <si>
    <t xml:space="preserve">Mandarin Centre - 65 Albert Ave, Chatswood NSW 206</t>
  </si>
  <si>
    <t xml:space="preserve">Mandarin Developments Pty Ltd </t>
  </si>
  <si>
    <t xml:space="preserve">T-31681</t>
  </si>
  <si>
    <t xml:space="preserve">KB House - 72-76 Archer Street, Chatswood, NSW 206</t>
  </si>
  <si>
    <t xml:space="preserve">Shead Real Estate Pty Ltd</t>
  </si>
  <si>
    <t xml:space="preserve">T-32610</t>
  </si>
  <si>
    <t xml:space="preserve">Goodman AU820 - City West Office Park - Building A</t>
  </si>
  <si>
    <t xml:space="preserve">T-32692</t>
  </si>
  <si>
    <t xml:space="preserve">Precinct 5 AU186 - 3 Tundra Close, Kemps Kreek, NS</t>
  </si>
  <si>
    <t xml:space="preserve">T-36072</t>
  </si>
  <si>
    <t xml:space="preserve">T-38942</t>
  </si>
  <si>
    <t xml:space="preserve">T-36829</t>
  </si>
  <si>
    <t xml:space="preserve">Gateway Business Park - Unit 3/9/10 - 63-79 Parram</t>
  </si>
  <si>
    <t xml:space="preserve">Cambooya Properties C/o Knight</t>
  </si>
  <si>
    <t xml:space="preserve">T-34915</t>
  </si>
  <si>
    <t xml:space="preserve">11-13 Orion Road, Lane Cove West, NSW 2066</t>
  </si>
  <si>
    <t xml:space="preserve">The Trustee for Gemstone Lane </t>
  </si>
  <si>
    <t xml:space="preserve">T-36467</t>
  </si>
  <si>
    <t xml:space="preserve">Goodman AU059 Lidcombe Business Park (Buildings A </t>
  </si>
  <si>
    <t xml:space="preserve">T-37159</t>
  </si>
  <si>
    <t xml:space="preserve">Jacfin Ricoh - 4  Telopea Place, Eastern Creek, NS</t>
  </si>
  <si>
    <t xml:space="preserve">FlameSafe Warranty (Contracts)</t>
  </si>
  <si>
    <t xml:space="preserve">T-34395</t>
  </si>
  <si>
    <t xml:space="preserve">PPIF -  9 George Street, Parramatta, NSW 2150</t>
  </si>
  <si>
    <t xml:space="preserve">Talish Property Group C/- Knig</t>
  </si>
  <si>
    <t xml:space="preserve">T-35708</t>
  </si>
  <si>
    <t xml:space="preserve">NIMBE - 39-47 Regent Street, Chippendale, NSW 2008</t>
  </si>
  <si>
    <t xml:space="preserve">Intera Group</t>
  </si>
  <si>
    <t xml:space="preserve">T-36631</t>
  </si>
  <si>
    <t xml:space="preserve">Freight Assist Australia - 26 Pavesi Street, Guild</t>
  </si>
  <si>
    <t xml:space="preserve">Cambooya Properties C/- Knight</t>
  </si>
  <si>
    <t xml:space="preserve">T-36074</t>
  </si>
  <si>
    <t xml:space="preserve">T-35710</t>
  </si>
  <si>
    <t xml:space="preserve">ACU - Building 526 - 8-10 Berry Street, North Sydn</t>
  </si>
  <si>
    <t xml:space="preserve">T-38182</t>
  </si>
  <si>
    <t xml:space="preserve">T-39238</t>
  </si>
  <si>
    <t xml:space="preserve">Goodman AU106 - M5 Industry Park - Building 1 -  1</t>
  </si>
  <si>
    <t xml:space="preserve">  Flamesafe Fire  —  Task Notes &amp; Status Change Log</t>
  </si>
  <si>
    <t xml:space="preserve">  Paste updates in chat → held until requested  ·  Written here on demand  ·  Every entry timestamped, nothing overwritten</t>
  </si>
  <si>
    <t xml:space="preserve">DATE / TIME</t>
  </si>
  <si>
    <t xml:space="preserve">TASK REF</t>
  </si>
  <si>
    <t xml:space="preserve">PROPERTY / CLIENT</t>
  </si>
  <si>
    <t xml:space="preserve">STATUS — BEFORE</t>
  </si>
  <si>
    <t xml:space="preserve">STATUS — AFTER</t>
  </si>
  <si>
    <t xml:space="preserve">NOTE</t>
  </si>
  <si>
    <t xml:space="preserve">FOLLOW-UP DATE</t>
  </si>
  <si>
    <t xml:space="preserve">LOGGED BY</t>
  </si>
  <si>
    <t xml:space="preserve">09/04/2026</t>
  </si>
  <si>
    <t xml:space="preserve">Ontex — 5 Wonderland Drive, Eastern Creek</t>
  </si>
  <si>
    <t xml:space="preserve">NEEDS REQUOTE — 2 men 8hrs, I/O module, 100m cable, boom lift, 2 horns to relocate. Batteries replaced as per report.</t>
  </si>
  <si>
    <t xml:space="preserve">Casper Tavitian</t>
  </si>
  <si>
    <t xml:space="preserve">Space 207 — 207 Pacific Highway, St Leonards</t>
  </si>
  <si>
    <t xml:space="preserve">FIP critical defects — T-Gen 50 slave amplifier faulty levels 4 to roof. Needs 2 techs. Full impedance investigation required.</t>
  </si>
  <si>
    <t xml:space="preserve">  ↑ Example entries (greyed)  ·  Live log entries begin below  ↓</t>
  </si>
  <si>
    <t xml:space="preserve">  Flamesafe Fire  —  Action List  ·  All Active Tasks  ·  08 April 2026</t>
  </si>
  <si>
    <t xml:space="preserve">  179 active tasks  ·  $512,648 total value  ·  Sorted by priority score  ·  Use column filters to focus</t>
  </si>
  <si>
    <t xml:space="preserve">#</t>
  </si>
  <si>
    <t xml:space="preserve">CATEGORY</t>
  </si>
  <si>
    <t xml:space="preserve">Lendlease Real Estate Invest</t>
  </si>
  <si>
    <t xml:space="preserve">Repair</t>
  </si>
  <si>
    <t xml:space="preserve">The Trustee For Gemstone Arn</t>
  </si>
  <si>
    <t xml:space="preserve">C/- Steven Krulis Real Estat</t>
  </si>
  <si>
    <t xml:space="preserve">Sterilisation Technologies A</t>
  </si>
  <si>
    <t xml:space="preserve">Centuria Property Funds No. </t>
  </si>
  <si>
    <t xml:space="preserve">Centuria Institutional Inves</t>
  </si>
  <si>
    <t xml:space="preserve">T-00911</t>
  </si>
  <si>
    <t xml:space="preserve">203-209 Northumberland Street, Liverpool - NSW 206</t>
  </si>
  <si>
    <t xml:space="preserve">Inner West Council C/- Knigh</t>
  </si>
  <si>
    <t xml:space="preserve">Callout</t>
  </si>
  <si>
    <t xml:space="preserve">Pengton No. 1 Pty Ltd ATF Pe</t>
  </si>
  <si>
    <t xml:space="preserve">Australian Catholic Universi</t>
  </si>
  <si>
    <t xml:space="preserve">Unions NSW Property and Serv</t>
  </si>
  <si>
    <t xml:space="preserve">One Funds Management Limited</t>
  </si>
  <si>
    <t xml:space="preserve">Jones Lang LaSalle (NSW) Pty</t>
  </si>
  <si>
    <t xml:space="preserve">The Trust Company (Australia</t>
  </si>
  <si>
    <t xml:space="preserve">Forza Capital Pty Ltd ATF Fo</t>
  </si>
  <si>
    <t xml:space="preserve">N G P Investments (no 2) Pty</t>
  </si>
  <si>
    <t xml:space="preserve">Paspaley Pearls Properties P</t>
  </si>
  <si>
    <t xml:space="preserve">Goodman Fielder Consumer Foo</t>
  </si>
  <si>
    <t xml:space="preserve">T-07534</t>
  </si>
  <si>
    <t xml:space="preserve">Rural Fire Brigade - 42 Lamb Street, Glendenning, </t>
  </si>
  <si>
    <t xml:space="preserve">Haider Al-Heyoury</t>
  </si>
  <si>
    <t xml:space="preserve">Barwon Investment Partners P</t>
  </si>
  <si>
    <t xml:space="preserve">Goodman Property Services (A</t>
  </si>
  <si>
    <t xml:space="preserve">DS Holdings and de Luxe Nomi</t>
  </si>
  <si>
    <t xml:space="preserve">T-07539</t>
  </si>
  <si>
    <t xml:space="preserve">T-00939</t>
  </si>
  <si>
    <t xml:space="preserve">63 Britton Street, Smithfield, NSW 2164</t>
  </si>
  <si>
    <t xml:space="preserve">C/- Commercial Portfolio Man</t>
  </si>
  <si>
    <t xml:space="preserve">AM Property Plus C/- IOOF In</t>
  </si>
  <si>
    <t xml:space="preserve">CSOF Sub Trust No. 2 ABN 52 </t>
  </si>
  <si>
    <t xml:space="preserve">Lendlease Funds Management L</t>
  </si>
  <si>
    <t xml:space="preserve">T-26500</t>
  </si>
  <si>
    <t xml:space="preserve">(ROC) Rail Operations Centre - Mandible &amp; Wyndham </t>
  </si>
  <si>
    <t xml:space="preserve">Sydney Trains</t>
  </si>
  <si>
    <t xml:space="preserve">T-20626</t>
  </si>
  <si>
    <t xml:space="preserve">T-20075</t>
  </si>
  <si>
    <t xml:space="preserve">T-25477</t>
  </si>
  <si>
    <t xml:space="preserve">Woolworths - Building 1 Kiaora Lands -  1 Kiaora R</t>
  </si>
  <si>
    <t xml:space="preserve">T-19801</t>
  </si>
  <si>
    <t xml:space="preserve">T-22187</t>
  </si>
  <si>
    <t xml:space="preserve">T-07541</t>
  </si>
  <si>
    <t xml:space="preserve">T-07536</t>
  </si>
  <si>
    <t xml:space="preserve">T-07533</t>
  </si>
  <si>
    <t xml:space="preserve">Ingleburn Industrial Propert</t>
  </si>
  <si>
    <t xml:space="preserve">Vassk Investments Pty Ltd AT</t>
  </si>
  <si>
    <t xml:space="preserve">Ashfield Catholic &amp; Communit</t>
  </si>
  <si>
    <t xml:space="preserve">West Infill Sub TC PTY LTD A</t>
  </si>
  <si>
    <t xml:space="preserve">TCAL ATF Altis Bulky Sub Tru</t>
  </si>
  <si>
    <t xml:space="preserve">Altis Bulky Retail ATF Altis</t>
  </si>
  <si>
    <t xml:space="preserve">Kenneth R Moras Property Hol</t>
  </si>
  <si>
    <t xml:space="preserve">Retail Ready Operations Aust</t>
  </si>
  <si>
    <t xml:space="preserve">George Vasili &amp; Nick Vasili </t>
  </si>
  <si>
    <t xml:space="preserve">T-33571</t>
  </si>
  <si>
    <t xml:space="preserve">FlameSafe Rydalmere Office -  Unit 2, 8-10 Mary Pa</t>
  </si>
  <si>
    <t xml:space="preserve">FlameSafe Fire Protection (T</t>
  </si>
  <si>
    <t xml:space="preserve">T-35837</t>
  </si>
  <si>
    <t xml:space="preserve">T-31520</t>
  </si>
  <si>
    <t xml:space="preserve">7 Box Sub TC Pty Ltd ATF 7 B</t>
  </si>
  <si>
    <t xml:space="preserve">T-30722</t>
  </si>
  <si>
    <t xml:space="preserve">Greater Sydney Parklands C/ </t>
  </si>
  <si>
    <t xml:space="preserve">T-32785</t>
  </si>
  <si>
    <t xml:space="preserve">Goodman AU181 -Homemaker Centre -  49-59 O'Riordan</t>
  </si>
  <si>
    <t xml:space="preserve">T-32314</t>
  </si>
  <si>
    <t xml:space="preserve">T-32311</t>
  </si>
  <si>
    <t xml:space="preserve">45 Jones Street St, Ultimo, NSW 2007</t>
  </si>
  <si>
    <t xml:space="preserve">Serbale Pty Limited</t>
  </si>
  <si>
    <t xml:space="preserve">T-33545</t>
  </si>
  <si>
    <t xml:space="preserve">LOGOS - Building 5 - 145 Hollinsworth Road, Marsde</t>
  </si>
  <si>
    <t xml:space="preserve">Logos Property Management Pt</t>
  </si>
  <si>
    <t xml:space="preserve">T-31451</t>
  </si>
  <si>
    <t xml:space="preserve">39A268 - 2-14 Elsie Street, BURWOOD, 2134</t>
  </si>
  <si>
    <t xml:space="preserve">RAM Australia Elseie Street </t>
  </si>
  <si>
    <t xml:space="preserve">T-32309</t>
  </si>
  <si>
    <t xml:space="preserve">40 Ricketty Road, Mascot, NSW 2020</t>
  </si>
  <si>
    <t xml:space="preserve">Henderson &amp; Horning Pty Ltd</t>
  </si>
  <si>
    <t xml:space="preserve">T-32771</t>
  </si>
  <si>
    <t xml:space="preserve">Goodman AU106 - M5 Industry Park - Building 2B/2C </t>
  </si>
  <si>
    <t xml:space="preserve">T-31634</t>
  </si>
  <si>
    <t xml:space="preserve">T-30699</t>
  </si>
  <si>
    <t xml:space="preserve">Charter Hall Holdings Pty Lt</t>
  </si>
  <si>
    <t xml:space="preserve">T-33570</t>
  </si>
  <si>
    <t xml:space="preserve">Goodman - AU821 City West Office Park - Buildings </t>
  </si>
  <si>
    <t xml:space="preserve">T-28489</t>
  </si>
  <si>
    <t xml:space="preserve">Vanessa Aus Sub TC Pty Ltd A</t>
  </si>
  <si>
    <t xml:space="preserve">Andrews Meat Industries Pty </t>
  </si>
  <si>
    <t xml:space="preserve">Aliro Trusco 1 Pty Ltd ATF t</t>
  </si>
  <si>
    <t xml:space="preserve">T-09362</t>
  </si>
  <si>
    <t xml:space="preserve">LOGOS - Unitrans -  2-4 Harvey Road, Kings Park, N</t>
  </si>
  <si>
    <t xml:space="preserve">Nks (NSW) Pty Ltd C/- Dunnet</t>
  </si>
  <si>
    <t xml:space="preserve">T-35245</t>
  </si>
  <si>
    <t xml:space="preserve">Goodman AU543 - 33-38 Quarry Road (Bld B, Bld C &amp; </t>
  </si>
  <si>
    <t xml:space="preserve">The Trust Company Limited in</t>
  </si>
  <si>
    <t xml:space="preserve">T-31857</t>
  </si>
  <si>
    <t xml:space="preserve">T-37325</t>
  </si>
  <si>
    <t xml:space="preserve">T-34621</t>
  </si>
  <si>
    <t xml:space="preserve">Blacktown City Council - 81-85 Flushcombe Road, Bl</t>
  </si>
  <si>
    <t xml:space="preserve">Stanton Hillier Parker</t>
  </si>
  <si>
    <t xml:space="preserve">T-34151</t>
  </si>
  <si>
    <t xml:space="preserve">T-36796</t>
  </si>
  <si>
    <t xml:space="preserve">T-35114</t>
  </si>
  <si>
    <t xml:space="preserve">T-35777</t>
  </si>
  <si>
    <t xml:space="preserve">Coles CFC - 154 Cowpasture Road, Wetherill Park, N</t>
  </si>
  <si>
    <t xml:space="preserve">The Trustee for Charter Hall</t>
  </si>
  <si>
    <t xml:space="preserve">T-12842</t>
  </si>
  <si>
    <t xml:space="preserve">Royal Life Saving Academy - 47 Lovell Road, Denist</t>
  </si>
  <si>
    <t xml:space="preserve">Royal Life Saving NSW</t>
  </si>
  <si>
    <t xml:space="preserve">T-31534</t>
  </si>
  <si>
    <t xml:space="preserve">Emirates - L17 - 1 York Street, Sydney, NSW 2000</t>
  </si>
  <si>
    <t xml:space="preserve">Emirates</t>
  </si>
  <si>
    <t xml:space="preserve">T-26652</t>
  </si>
  <si>
    <t xml:space="preserve">Goodman AU545 - Interlink Industrial Estate - Kimb</t>
  </si>
  <si>
    <t xml:space="preserve">T-32782</t>
  </si>
  <si>
    <t xml:space="preserve">11A &amp; 11B Grand Avenue, Camellia, NSW 2142</t>
  </si>
  <si>
    <t xml:space="preserve">Asia Property AU 1 ATF the C</t>
  </si>
  <si>
    <t xml:space="preserve">T-20077</t>
  </si>
  <si>
    <t xml:space="preserve">The Trustee for Gemstone Lan</t>
  </si>
  <si>
    <t xml:space="preserve">T-38908</t>
  </si>
  <si>
    <t xml:space="preserve">85 Waterloo Road, Macquarie Park NSW 2113</t>
  </si>
  <si>
    <t xml:space="preserve">T-36098</t>
  </si>
  <si>
    <t xml:space="preserve">T-38875</t>
  </si>
  <si>
    <t xml:space="preserve">T-10320</t>
  </si>
  <si>
    <t xml:space="preserve">By the Bay Investments - 2 Giffnock Avenue, North </t>
  </si>
  <si>
    <t xml:space="preserve">ESSC, REM Colliers Internati</t>
  </si>
  <si>
    <t xml:space="preserve">Mandarin Developments Pty Lt</t>
  </si>
  <si>
    <t xml:space="preserve">T-36961</t>
  </si>
  <si>
    <t xml:space="preserve">Landhop Chatswood - 11 Spring Street, Chatswood, N</t>
  </si>
  <si>
    <t xml:space="preserve">Landhop Pty Ltd</t>
  </si>
  <si>
    <t xml:space="preserve">T-37163</t>
  </si>
  <si>
    <t xml:space="preserve">1 YORK - 1 York Street, Sydney, NSW 2000</t>
  </si>
  <si>
    <t xml:space="preserve">York II Sub Trust</t>
  </si>
  <si>
    <t xml:space="preserve">Cambooya Properties C/o Knig</t>
  </si>
  <si>
    <t xml:space="preserve">FlameSafe Warranty (Contract</t>
  </si>
  <si>
    <t xml:space="preserve">Talish Property Group C/- Kn</t>
  </si>
  <si>
    <t xml:space="preserve">Cambooya Properties C/- Knig</t>
  </si>
  <si>
    <t xml:space="preserve">T-32680</t>
  </si>
  <si>
    <t xml:space="preserve">372-394 Elizabeth Street, Surry Hills, NSW 2010</t>
  </si>
  <si>
    <t xml:space="preserve">Contec Properties Pty Ltd</t>
  </si>
  <si>
    <t xml:space="preserve">T-28602</t>
  </si>
  <si>
    <t xml:space="preserve">Goodman AU122 - Showground Business Park 12 - 20 A</t>
  </si>
  <si>
    <t xml:space="preserve">T-33437</t>
  </si>
  <si>
    <t xml:space="preserve">LOW</t>
  </si>
  <si>
    <t xml:space="preserve">T-34751</t>
  </si>
  <si>
    <t xml:space="preserve">T-36073</t>
  </si>
  <si>
    <t xml:space="preserve">T-35477</t>
  </si>
  <si>
    <t xml:space="preserve">ACU - Building 532 - 8-20 Napier Street, North Syd</t>
  </si>
  <si>
    <t xml:space="preserve">T-38249</t>
  </si>
  <si>
    <t xml:space="preserve">T-36636</t>
  </si>
  <si>
    <t xml:space="preserve">  Flamesafe Fire  —  Quote Register  ·  08 April 2026</t>
  </si>
  <si>
    <t xml:space="preserve">  52 finalised $279,221  ·  26 submitted $120,317  ·  Win rate: 60%  ·  Avg margin: 23.3%</t>
  </si>
  <si>
    <t xml:space="preserve">PROPERTY</t>
  </si>
  <si>
    <t xml:space="preserve">DATE</t>
  </si>
  <si>
    <t xml:space="preserve">DUE DATE</t>
  </si>
  <si>
    <t xml:space="preserve">REVENUE ($)</t>
  </si>
  <si>
    <t xml:space="preserve">MARGIN %</t>
  </si>
  <si>
    <t xml:space="preserve">TOTAL INC GST</t>
  </si>
  <si>
    <t xml:space="preserve">DESCRIPTION</t>
  </si>
  <si>
    <t xml:space="preserve">QD-1586</t>
  </si>
  <si>
    <t xml:space="preserve">JOY Building - 78 Kent Road, Mascot NSW 2020</t>
  </si>
  <si>
    <t xml:space="preserve">Logos Property Management Pty Li</t>
  </si>
  <si>
    <t xml:space="preserve">FINALISED</t>
  </si>
  <si>
    <t xml:space="preserve">Gas system - reinstate</t>
  </si>
  <si>
    <t xml:space="preserve">QD-2312</t>
  </si>
  <si>
    <t xml:space="preserve">63 Jedda Road, Prestons, NSW 2170</t>
  </si>
  <si>
    <t xml:space="preserve">Vanilla Australian Sub II TC Pty</t>
  </si>
  <si>
    <t xml:space="preserve">DRAFT</t>
  </si>
  <si>
    <t xml:space="preserve">AFSS Inspection report</t>
  </si>
  <si>
    <t xml:space="preserve">QD-2456 - FIP</t>
  </si>
  <si>
    <t xml:space="preserve">Goodman AU106 - M5 Industry Park - Building 2</t>
  </si>
  <si>
    <t xml:space="preserve">Goodman Property Services (Aust)</t>
  </si>
  <si>
    <t xml:space="preserve">SUBMITTED</t>
  </si>
  <si>
    <t xml:space="preserve">Fire Equipment repairs</t>
  </si>
  <si>
    <t xml:space="preserve">QD-1329</t>
  </si>
  <si>
    <t xml:space="preserve">2-14 Elsie Street</t>
  </si>
  <si>
    <t xml:space="preserve">MAXAM &amp; CO</t>
  </si>
  <si>
    <t xml:space="preserve">IVFA Fitout</t>
  </si>
  <si>
    <t xml:space="preserve">QD-2239 - FIP</t>
  </si>
  <si>
    <t xml:space="preserve">Northcote Pottery Australia - 2 Distribution </t>
  </si>
  <si>
    <t xml:space="preserve">End of Life FIP Replacement</t>
  </si>
  <si>
    <t xml:space="preserve">QD-2322 - FIP</t>
  </si>
  <si>
    <t xml:space="preserve">SP 52948 Macquarie Gardens - 1-15 Fontenoy Ro</t>
  </si>
  <si>
    <t xml:space="preserve">Waratah Strata Management</t>
  </si>
  <si>
    <t xml:space="preserve">Annual Detector failure</t>
  </si>
  <si>
    <t xml:space="preserve">QD-2249 - FIP</t>
  </si>
  <si>
    <t xml:space="preserve">87 Marsden Street, Parramatta, NSW 2150</t>
  </si>
  <si>
    <t xml:space="preserve">MHPHA Marsden Street Pty Ltd</t>
  </si>
  <si>
    <t xml:space="preserve">AFSS Inspection report January</t>
  </si>
  <si>
    <t xml:space="preserve">QD-1383</t>
  </si>
  <si>
    <t xml:space="preserve">10 Julius Ave, North Ryde NSW, 2113</t>
  </si>
  <si>
    <t xml:space="preserve">5 Yearly Detection and Warning System</t>
  </si>
  <si>
    <t xml:space="preserve">QD-2442</t>
  </si>
  <si>
    <t xml:space="preserve">Goodman AU543 - Zirco Data - 15-23 Quarry Roa</t>
  </si>
  <si>
    <t xml:space="preserve">Replacement of the faulty Vesda #3</t>
  </si>
  <si>
    <t xml:space="preserve">QD-2610 - FIP</t>
  </si>
  <si>
    <t xml:space="preserve">Vanessa Aus Sub TC Pty Ltd ATF V</t>
  </si>
  <si>
    <t xml:space="preserve">FIP APFS defect repairs/inspection Feb 2026</t>
  </si>
  <si>
    <t xml:space="preserve">QD-2508 - FIP</t>
  </si>
  <si>
    <t xml:space="preserve">Goodman Fielder - 16 Templar Rd, Erskine Park</t>
  </si>
  <si>
    <t xml:space="preserve">Goodman Fielder Consumer Foods P</t>
  </si>
  <si>
    <t xml:space="preserve">FIP AFSS Inspection report Feb 26</t>
  </si>
  <si>
    <t xml:space="preserve">QD-0307(v2)</t>
  </si>
  <si>
    <t xml:space="preserve">Pacific Square - 717 Anzac Parade, Maroubra, </t>
  </si>
  <si>
    <t xml:space="preserve">Monthly Defect - Battery</t>
  </si>
  <si>
    <t xml:space="preserve">QD-2457 - GAS</t>
  </si>
  <si>
    <t xml:space="preserve">8 Priddle Street, Warwick Farm, NSW 2170</t>
  </si>
  <si>
    <t xml:space="preserve">Rathdrum Properties Pty Ltd</t>
  </si>
  <si>
    <t xml:space="preserve">AFSS - Passive Fire Sealing</t>
  </si>
  <si>
    <t xml:space="preserve">QD-2647 - FIP</t>
  </si>
  <si>
    <t xml:space="preserve">Impact International - Cnr Victoria and O’Con</t>
  </si>
  <si>
    <t xml:space="preserve">FIP AFSS inspection report Feb 2026</t>
  </si>
  <si>
    <t xml:space="preserve">QD-2377 - FIP</t>
  </si>
  <si>
    <t xml:space="preserve">112 Wharf Road, Melrose Park, NSW 2114</t>
  </si>
  <si>
    <t xml:space="preserve">FIP AFSS Inspection report Jan 2026</t>
  </si>
  <si>
    <t xml:space="preserve">QD-2482 - FIP</t>
  </si>
  <si>
    <t xml:space="preserve">Buildings A, B &amp; C - 29 Davis Road, Wetherill</t>
  </si>
  <si>
    <t xml:space="preserve">Lendlease Real Estate Investment</t>
  </si>
  <si>
    <t xml:space="preserve">AFSS FIP defect report Feb 2026</t>
  </si>
  <si>
    <t xml:space="preserve">QD-1410</t>
  </si>
  <si>
    <t xml:space="preserve">10a Julius Ave, North Ryde NSW 2113,</t>
  </si>
  <si>
    <t xml:space="preserve">QD-2640 - FIP</t>
  </si>
  <si>
    <t xml:space="preserve">LOGOS - Unitrans -  2-4 Harvey Road, Kings Pa</t>
  </si>
  <si>
    <t xml:space="preserve">FIP Annual defect repairs/investigation</t>
  </si>
  <si>
    <t xml:space="preserve">QD-1136</t>
  </si>
  <si>
    <t xml:space="preserve">83-87 Market Street, Sydney, NSW 2000</t>
  </si>
  <si>
    <t xml:space="preserve">Mercer Property Pty Ltd</t>
  </si>
  <si>
    <t xml:space="preserve">AFSS Inspection Report 09072025</t>
  </si>
  <si>
    <t xml:space="preserve">QD-1381</t>
  </si>
  <si>
    <t xml:space="preserve">205-231 Fairfield Rd, Guildford West, NSW 216</t>
  </si>
  <si>
    <t xml:space="preserve">QD-2510 - FIP</t>
  </si>
  <si>
    <t xml:space="preserve">Bodium - 487 Elizabeth Street, Surry Hills, N</t>
  </si>
  <si>
    <t xml:space="preserve">Bodium Property Pty Ltd</t>
  </si>
  <si>
    <t xml:space="preserve">AFSS Defect report Feb 2026</t>
  </si>
  <si>
    <t xml:space="preserve">QD-1344</t>
  </si>
  <si>
    <t xml:space="preserve">Goodman AU058 - Bungaribee Industrial Estate </t>
  </si>
  <si>
    <t xml:space="preserve">QD-2254</t>
  </si>
  <si>
    <t xml:space="preserve">Blackwoods - 1-3 Bellevue Circuit, Greystanes</t>
  </si>
  <si>
    <t xml:space="preserve">Blackwoods</t>
  </si>
  <si>
    <t xml:space="preserve">Horn speakers installation</t>
  </si>
  <si>
    <t xml:space="preserve">QD-1384</t>
  </si>
  <si>
    <t xml:space="preserve">16 Rodborough Rd, Frenchs Forest, NSW 2086</t>
  </si>
  <si>
    <t xml:space="preserve">QD-2439</t>
  </si>
  <si>
    <t xml:space="preserve">Goodman AU646 - 146 O'Riordan Street, Mascot,</t>
  </si>
  <si>
    <t xml:space="preserve">FIP Replacement of faulty detectors</t>
  </si>
  <si>
    <t xml:space="preserve">QD-2650</t>
  </si>
  <si>
    <t xml:space="preserve">C/- Commercial Portfolio Managem</t>
  </si>
  <si>
    <t xml:space="preserve">Defects identified during the Annual Fire Safety Inspec</t>
  </si>
  <si>
    <t xml:space="preserve">QD-2085</t>
  </si>
  <si>
    <t xml:space="preserve">Monthly defect repairs required</t>
  </si>
  <si>
    <t xml:space="preserve">QD-2398 - FIP</t>
  </si>
  <si>
    <t xml:space="preserve">ACU - Building 502 - 40 Edward Street, North </t>
  </si>
  <si>
    <t xml:space="preserve">Australian Catholic Universities</t>
  </si>
  <si>
    <t xml:space="preserve">FIP Annual Defect repairs/investigation</t>
  </si>
  <si>
    <t xml:space="preserve">QD-1510</t>
  </si>
  <si>
    <t xml:space="preserve">AFSS Inspection Report September 2025</t>
  </si>
  <si>
    <t xml:space="preserve">QD-2641 - FIP</t>
  </si>
  <si>
    <t xml:space="preserve">Ingal Civil Products - 57-65 Airds Road, Mint</t>
  </si>
  <si>
    <t xml:space="preserve">Ingal Civil Products</t>
  </si>
  <si>
    <t xml:space="preserve">FIP AFSS Inspection report Feb 2026</t>
  </si>
  <si>
    <t xml:space="preserve">QD-2207 - FIP</t>
  </si>
  <si>
    <t xml:space="preserve">LOGOS - 1 Monier Square, Villawood - NSW 2165</t>
  </si>
  <si>
    <t xml:space="preserve">AFSS inspection Report</t>
  </si>
  <si>
    <t xml:space="preserve">QD-2540</t>
  </si>
  <si>
    <t xml:space="preserve">Union NSW - 4-10 Goulburn Street, Sydney, NSW</t>
  </si>
  <si>
    <t xml:space="preserve">AFSS Inspection Report Feb 2026</t>
  </si>
  <si>
    <t xml:space="preserve">QD-2642 - FIP</t>
  </si>
  <si>
    <t xml:space="preserve">Bucher Municipal - 19 Astoria Road  Marsden P</t>
  </si>
  <si>
    <t xml:space="preserve">Ganian Pty Ltd ATF Blacktown Was</t>
  </si>
  <si>
    <t xml:space="preserve">FIP AFSS inspection Report Feb 2026</t>
  </si>
  <si>
    <t xml:space="preserve">QD-2480 - FIP</t>
  </si>
  <si>
    <t xml:space="preserve">82 Belmore Road North, Riverwood, NSW 2210</t>
  </si>
  <si>
    <t xml:space="preserve">QD-2210 - FIP</t>
  </si>
  <si>
    <t xml:space="preserve">Pro-Pac Packaging (BLDG 1) - 147 Newton Road,</t>
  </si>
  <si>
    <t xml:space="preserve">Kenneth R Moras Property Holding</t>
  </si>
  <si>
    <t xml:space="preserve">QD-2651</t>
  </si>
  <si>
    <t xml:space="preserve">Goodman AU877 - Silverwater D/C - Light &amp; Won</t>
  </si>
  <si>
    <t xml:space="preserve">Defects identified during the Monthly Fire Panel Testin</t>
  </si>
  <si>
    <t xml:space="preserve">QD-1468</t>
  </si>
  <si>
    <t xml:space="preserve">Faulty card replacement - FIP repairs</t>
  </si>
  <si>
    <t xml:space="preserve">QD-2213 _ FIP</t>
  </si>
  <si>
    <t xml:space="preserve">Visy Recycling - 112 Euston Road, Alexandria,</t>
  </si>
  <si>
    <t xml:space="preserve">Monthly Vesda defects</t>
  </si>
  <si>
    <t xml:space="preserve">QD-2432</t>
  </si>
  <si>
    <t xml:space="preserve">The Trust Company (Australia) Li</t>
  </si>
  <si>
    <t xml:space="preserve">FIP AFSS Defect repairs</t>
  </si>
  <si>
    <t xml:space="preserve">QD-1686</t>
  </si>
  <si>
    <t xml:space="preserve">20 Eastern Creek Drive, Eastern Creek, NSW 27</t>
  </si>
  <si>
    <t xml:space="preserve">Bieson Pty Ltd C/- CBRE Pty Ltd </t>
  </si>
  <si>
    <t xml:space="preserve">Overrides fire pump fan</t>
  </si>
  <si>
    <t xml:space="preserve">QD-2549 - FIP</t>
  </si>
  <si>
    <t xml:space="preserve">Goodman AU543 - Packcentre Shed 2 - 33-83 Qua</t>
  </si>
  <si>
    <t xml:space="preserve">AFSS Inspection report March 2026</t>
  </si>
  <si>
    <t xml:space="preserve">QD-2574 - FIP (39418)</t>
  </si>
  <si>
    <t xml:space="preserve">FIP AFSS Inspection Report March 2026 - 39418</t>
  </si>
  <si>
    <t xml:space="preserve">QD-1338</t>
  </si>
  <si>
    <t xml:space="preserve">GoodmanAU079 Greystanes Park East - (BLDG 4) </t>
  </si>
  <si>
    <t xml:space="preserve">QD-1334</t>
  </si>
  <si>
    <t xml:space="preserve">Goodman AU870 - Chep - 13-15 Interchange Driv</t>
  </si>
  <si>
    <t xml:space="preserve">QD-2638 - FIP</t>
  </si>
  <si>
    <t xml:space="preserve">Centuria - K&amp;S Freighters - 1 Hope Street, St</t>
  </si>
  <si>
    <t xml:space="preserve">Centuria Institutional Investmen</t>
  </si>
  <si>
    <t xml:space="preserve">QD-2553</t>
  </si>
  <si>
    <t xml:space="preserve">91 Phillip Street, Parramatta, NSW 2150</t>
  </si>
  <si>
    <t xml:space="preserve">REI Property Sub Pty Ltd ATF REI</t>
  </si>
  <si>
    <t xml:space="preserve">QD-2466</t>
  </si>
  <si>
    <t xml:space="preserve">ACU - Building 600-650 - 25a Baker Road, Stra</t>
  </si>
  <si>
    <t xml:space="preserve">Investigation of Earth fault</t>
  </si>
  <si>
    <t xml:space="preserve">QD-2550 - FIP</t>
  </si>
  <si>
    <t xml:space="preserve">Goodman AU543 - 33-38 Quarry Road , Erskine P</t>
  </si>
  <si>
    <t xml:space="preserve">AFSS Inspection report March 2026 Building B &amp; C</t>
  </si>
  <si>
    <t xml:space="preserve">QD-2124</t>
  </si>
  <si>
    <t xml:space="preserve">Goodman AU002 - Slough Business Park - Block </t>
  </si>
  <si>
    <t xml:space="preserve">Replacement/removal of faulty domestic detector</t>
  </si>
  <si>
    <t xml:space="preserve">QD-1323</t>
  </si>
  <si>
    <t xml:space="preserve">Barangaroo Culture Space Building - Cnr Towns</t>
  </si>
  <si>
    <t xml:space="preserve">c/- Cushman &amp; Wakefield Pty Ltd</t>
  </si>
  <si>
    <t xml:space="preserve">AFSS Inspection Report August 2025</t>
  </si>
  <si>
    <t xml:space="preserve">QD-1641</t>
  </si>
  <si>
    <t xml:space="preserve">67 West Street, North Sydney, NSW 2055</t>
  </si>
  <si>
    <t xml:space="preserve">S &amp; E Cuccurullo</t>
  </si>
  <si>
    <t xml:space="preserve">AFSS Inspection Report October 2025</t>
  </si>
  <si>
    <t xml:space="preserve">QD-1483</t>
  </si>
  <si>
    <t xml:space="preserve">TRS - 170 Newton Road, Wetherill Park, NSW 21</t>
  </si>
  <si>
    <t xml:space="preserve">QD-2468</t>
  </si>
  <si>
    <t xml:space="preserve">Australian Red Cross Lifeblood - 17 O'Riordan</t>
  </si>
  <si>
    <t xml:space="preserve">Australian Red Cross Lifeblood</t>
  </si>
  <si>
    <t xml:space="preserve">FIP Monthly battery defect</t>
  </si>
  <si>
    <t xml:space="preserve">QD-2370</t>
  </si>
  <si>
    <t xml:space="preserve">LOGOS - Building 7 - 145 Hollinsworth Road, M</t>
  </si>
  <si>
    <t xml:space="preserve">Fault repairs</t>
  </si>
  <si>
    <t xml:space="preserve">QD-1606</t>
  </si>
  <si>
    <t xml:space="preserve">QD-2478 - FIP</t>
  </si>
  <si>
    <t xml:space="preserve">Goodman AU643 - 15 Berry Street, Granville, N</t>
  </si>
  <si>
    <t xml:space="preserve">AFSS FIP Defect report Feb 2026</t>
  </si>
  <si>
    <t xml:space="preserve">QD-2609 - FIP</t>
  </si>
  <si>
    <t xml:space="preserve">Barwon Investment Partners Pty L</t>
  </si>
  <si>
    <t xml:space="preserve">FIP Monthly defect repairs</t>
  </si>
  <si>
    <t xml:space="preserve">QD-1375</t>
  </si>
  <si>
    <t xml:space="preserve">ACU - Building 533 - 33 Berry Street, North S</t>
  </si>
  <si>
    <t xml:space="preserve">FAIL SAFE DEVICES rectification</t>
  </si>
  <si>
    <t xml:space="preserve">QD-2622</t>
  </si>
  <si>
    <t xml:space="preserve">15 Distribution Dr. Orchard Hills</t>
  </si>
  <si>
    <t xml:space="preserve">Mechanical controls programming</t>
  </si>
  <si>
    <t xml:space="preserve">QD-2429 - FIP</t>
  </si>
  <si>
    <t xml:space="preserve">Linfox - 27-49 Lenore Drive, Erskine Park, NS</t>
  </si>
  <si>
    <t xml:space="preserve">Linfox -  Erskine Park Health Ca</t>
  </si>
  <si>
    <t xml:space="preserve">FIP AFSS Defect repairs Feb 2026</t>
  </si>
  <si>
    <t xml:space="preserve">QD-2551 - FIP (APFS)</t>
  </si>
  <si>
    <t xml:space="preserve">AFSS Inspection report Mar 2026 Building D</t>
  </si>
  <si>
    <t xml:space="preserve">QD-1342</t>
  </si>
  <si>
    <t xml:space="preserve">AU079 Greystanes Park East - (BLDG 2) Marshal</t>
  </si>
  <si>
    <t xml:space="preserve">5 yearly FIP/OWS</t>
  </si>
  <si>
    <t xml:space="preserve">QD-2474</t>
  </si>
  <si>
    <t xml:space="preserve">Critical FIP Defects from Monthly testing</t>
  </si>
  <si>
    <t xml:space="preserve">QD-2605</t>
  </si>
  <si>
    <t xml:space="preserve">The Trust Company Limited in its</t>
  </si>
  <si>
    <t xml:space="preserve">FIP - Annual defect repairs/investigation</t>
  </si>
  <si>
    <t xml:space="preserve">QD-0927</t>
  </si>
  <si>
    <t xml:space="preserve">Rickoh - 364-372 Kent Street, Sydney, NSW 200</t>
  </si>
  <si>
    <t xml:space="preserve">APFS Report 2025 - Detection and Warning System</t>
  </si>
  <si>
    <t xml:space="preserve">QD-2045</t>
  </si>
  <si>
    <t xml:space="preserve">Centuria - 8 Hexham Place, Wetherill Park, NS</t>
  </si>
  <si>
    <t xml:space="preserve">Centuria Property Funds No. 2 Lt</t>
  </si>
  <si>
    <t xml:space="preserve">AFSS inspection report repairs December 2025</t>
  </si>
  <si>
    <t xml:space="preserve">QD-1064</t>
  </si>
  <si>
    <t xml:space="preserve">Mandarin Centre - 65 Albert Ave, Chatswood NS</t>
  </si>
  <si>
    <t xml:space="preserve">Mandarin Developments Pty Ltd C-</t>
  </si>
  <si>
    <t xml:space="preserve">Monthly Defect July 2025 - Panel Fault</t>
  </si>
  <si>
    <t xml:space="preserve">QD-2250</t>
  </si>
  <si>
    <t xml:space="preserve">3M - L3 Computer Room - 1A Rivett Road, North</t>
  </si>
  <si>
    <t xml:space="preserve">Jones Lang LaSalle (NSW) Pty Ltd</t>
  </si>
  <si>
    <t xml:space="preserve">Monthly defect inspection</t>
  </si>
  <si>
    <t xml:space="preserve">QD-2530</t>
  </si>
  <si>
    <t xml:space="preserve">Vesda fault rectification</t>
  </si>
  <si>
    <t xml:space="preserve">QD-1273</t>
  </si>
  <si>
    <t xml:space="preserve">Labour Council of NSW - 377-383 Sussex Street</t>
  </si>
  <si>
    <t xml:space="preserve">Unions NSW Property and Services</t>
  </si>
  <si>
    <t xml:space="preserve">Fire Detector isolations and deisolations</t>
  </si>
  <si>
    <t xml:space="preserve">QD-2614 - FIP (Ann)</t>
  </si>
  <si>
    <t xml:space="preserve">FIP Annual defect repairs</t>
  </si>
  <si>
    <t xml:space="preserve">QD-2020</t>
  </si>
  <si>
    <t xml:space="preserve">VERTIX - 311 South Street, Marsden Park NSW 2</t>
  </si>
  <si>
    <t xml:space="preserve">Monthly Defect - Comm Fault</t>
  </si>
  <si>
    <t xml:space="preserve">QD-2462 - FIP</t>
  </si>
  <si>
    <t xml:space="preserve">Goodman AU019 - Transtech Business Park - 12 </t>
  </si>
  <si>
    <t xml:space="preserve">QD-1395</t>
  </si>
  <si>
    <t xml:space="preserve">DLP 31 Heinrich Close, Eastern Creek</t>
  </si>
  <si>
    <t xml:space="preserve">Monthly Testing July 2025</t>
  </si>
  <si>
    <t xml:space="preserve">QD-2391</t>
  </si>
  <si>
    <t xml:space="preserve">End of Life FIP replacement</t>
  </si>
  <si>
    <t xml:space="preserve">QD-2575</t>
  </si>
  <si>
    <t xml:space="preserve">LOGOS - Sigma Healthcare - 2 Imperata Close, </t>
  </si>
  <si>
    <t xml:space="preserve">FIP Monthly Defect repairs</t>
  </si>
  <si>
    <t xml:space="preserve">QD-2089 - FIP</t>
  </si>
  <si>
    <t xml:space="preserve">Resolution X - 21B Richmond Road, Homebush We</t>
  </si>
  <si>
    <t xml:space="preserve">Monthly Battery Defect repairs</t>
  </si>
  <si>
    <t xml:space="preserve">QD-1065</t>
  </si>
  <si>
    <t xml:space="preserve">QD-2325</t>
  </si>
  <si>
    <t xml:space="preserve">Veolia Water Treatment Plant -  1 East Parade</t>
  </si>
  <si>
    <t xml:space="preserve">Veolia Water Operations Pty Ltd</t>
  </si>
  <si>
    <t xml:space="preserve">FIP Investigation</t>
  </si>
  <si>
    <t xml:space="preserve">QD-1654</t>
  </si>
  <si>
    <t xml:space="preserve">Goodman AU106 - M5 Industry Park - Building 1</t>
  </si>
  <si>
    <t xml:space="preserve">Monthly Testing October 2025</t>
  </si>
  <si>
    <t xml:space="preserve">QD-2412</t>
  </si>
  <si>
    <t xml:space="preserve">1 Rivett Road, North Ryde, NSW 2113</t>
  </si>
  <si>
    <t xml:space="preserve">Quality Green Metro Pty Ltd as T</t>
  </si>
  <si>
    <t xml:space="preserve">FIP Monthly battery Defects</t>
  </si>
  <si>
    <t xml:space="preserve">QD-2646</t>
  </si>
  <si>
    <t xml:space="preserve">Goodman AU543 - 15-23 Quarry Road, Erskine Pa</t>
  </si>
  <si>
    <t xml:space="preserve">Monthly Defect March - FIP door Broken</t>
  </si>
  <si>
    <t xml:space="preserve">QD-2362 - FIP</t>
  </si>
  <si>
    <t xml:space="preserve">Annual testing critical Defect</t>
  </si>
  <si>
    <t xml:space="preserve">QD-2445</t>
  </si>
  <si>
    <t xml:space="preserve">LAPP - 12 Grevillea Street,  Eastern Creek, N</t>
  </si>
  <si>
    <t xml:space="preserve">Tammatali Pty Ltd as Trustee for</t>
  </si>
  <si>
    <t xml:space="preserve">FIP Monthly Battery defects</t>
  </si>
  <si>
    <t xml:space="preserve">QD-1340</t>
  </si>
  <si>
    <t xml:space="preserve">Goodman AU079 Greystanes Park East - (BLDG 3)</t>
  </si>
  <si>
    <t xml:space="preserve">QD-1260</t>
  </si>
  <si>
    <t xml:space="preserve">Goodman AU181 -Homemaker Centre -  49-59 O'Ri</t>
  </si>
  <si>
    <t xml:space="preserve">Monthly Testing August 2025</t>
  </si>
  <si>
    <t xml:space="preserve">  Flamesafe Fire  —  Operations Dashboard</t>
  </si>
  <si>
    <t xml:space="preserve">  08 April 2026  ·  Must quote $297,692/month to hit $180k  ·  Win rate: 60%  ·  Margin: 23.3%</t>
  </si>
  <si>
    <t xml:space="preserve">  FINANCIAL SNAPSHOT</t>
  </si>
  <si>
    <t xml:space="preserve">TASK PIPELINE</t>
  </si>
  <si>
    <t xml:space="preserve">FINALISED QUOTES</t>
  </si>
  <si>
    <t xml:space="preserve">SUBMITTED QUOTES</t>
  </si>
  <si>
    <t xml:space="preserve">REPAIR VALUE</t>
  </si>
  <si>
    <t xml:space="preserve">MONTHLY TARGET</t>
  </si>
  <si>
    <t xml:space="preserve">  TASK STATUS  ·  What needs doing</t>
  </si>
  <si>
    <t xml:space="preserve">COUNT</t>
  </si>
  <si>
    <t xml:space="preserve">% TOTAL</t>
  </si>
  <si>
    <t xml:space="preserve">AVG VALUE ($)</t>
  </si>
  <si>
    <t xml:space="preserve">NEXT ACTION</t>
  </si>
  <si>
    <t xml:space="preserve">Quote / Schedule repairs</t>
  </si>
  <si>
    <t xml:space="preserve">Confirm tech before date</t>
  </si>
  <si>
    <t xml:space="preserve">Assign technician now</t>
  </si>
  <si>
    <t xml:space="preserve">Follow up — on site</t>
  </si>
  <si>
    <t xml:space="preserve">PERFORMED</t>
  </si>
  <si>
    <t xml:space="preserve">Raise invoice</t>
  </si>
  <si>
    <t xml:space="preserve">  REVENUE MODEL  ·  Win rate 60%  ·  Must quote $297,692/month</t>
  </si>
  <si>
    <t xml:space="preserve">METRIC</t>
  </si>
  <si>
    <t xml:space="preserve">CURRENT</t>
  </si>
  <si>
    <t xml:space="preserve">TARGET</t>
  </si>
  <si>
    <t xml:space="preserve">GAP</t>
  </si>
  <si>
    <t xml:space="preserve">Monthly Revenue</t>
  </si>
  <si>
    <t xml:space="preserve">✗ BELOW</t>
  </si>
  <si>
    <t xml:space="preserve">Monthly Quoting</t>
  </si>
  <si>
    <t xml:space="preserve">Quote Multiplier</t>
  </si>
  <si>
    <t xml:space="preserve">Gross Margin</t>
  </si>
  <si>
    <t xml:space="preserve">  TECHNICIAN WORKLOAD  ·  11 Technicians</t>
  </si>
  <si>
    <t xml:space="preserve">TASKS</t>
  </si>
  <si>
    <t xml:space="preserve">REPAIRS</t>
  </si>
  <si>
    <t xml:space="preserve">CALLOUTS</t>
  </si>
  <si>
    <t xml:space="preserve">REVISITS</t>
  </si>
  <si>
    <t xml:space="preserve">%</t>
  </si>
  <si>
    <t xml:space="preserve">Tim Hu</t>
  </si>
  <si>
    <t xml:space="preserve">Jimmy Kak</t>
  </si>
  <si>
    <t xml:space="preserve">  Flamesafe Fire  —  Revenue &amp; Margin Analytics  ·  Mathematical Target Model</t>
  </si>
  <si>
    <t xml:space="preserve">  Target: $180,000/month  ·  Win rate: 60%  ·  Avg quote: $5,370  ·  Avg margin: 23.3%  ·  Must quote: $297,692/month to collect $180k</t>
  </si>
  <si>
    <t xml:space="preserve">  CORE BUSINESS METRICS  ·  Actual vs Target</t>
  </si>
  <si>
    <t xml:space="preserve">ACTUAL MONTHLY REVENUE</t>
  </si>
  <si>
    <t xml:space="preserve">REVENUE GAP</t>
  </si>
  <si>
    <t xml:space="preserve">WIN RATE</t>
  </si>
  <si>
    <t xml:space="preserve">AVG FINALISED QUOTE</t>
  </si>
  <si>
    <t xml:space="preserve">AVG GROSS MARGIN</t>
  </si>
  <si>
    <t xml:space="preserve">Revenue to collect per month</t>
  </si>
  <si>
    <t xml:space="preserve">$152,078 below target — estimated from finalised quotes over 10 months</t>
  </si>
  <si>
    <t xml:space="preserve">Shortfall vs target each month</t>
  </si>
  <si>
    <t xml:space="preserve">52 won of 86 total quotes</t>
  </si>
  <si>
    <t xml:space="preserve">Average value of a quote you win</t>
  </si>
  <si>
    <t xml:space="preserve">Target: 25%+  ·  Currently 23.3%</t>
  </si>
  <si>
    <t xml:space="preserve">  ⚡  KEY INSIGHT:  You quote ~$48,551/month. At your 60% win rate that yields ~$29,356/month revenue. To collect $180,000/month you must quote $297,692/month — that is $249,142/month MORE than current rate. Quote multiplier = 1.65x.</t>
  </si>
  <si>
    <t xml:space="preserve">  THE QUOTE MULTIPLIER  ·  At 60% win rate: to earn $180k you must quote $297,692/month (1.65x)</t>
  </si>
  <si>
    <t xml:space="preserve">WIN RATE SCENARIO</t>
  </si>
  <si>
    <t xml:space="preserve">MUST QUOTE/MONTH ($)</t>
  </si>
  <si>
    <t xml:space="preserve">QUOTES NEEDED (@ avg $5,370)</t>
  </si>
  <si>
    <t xml:space="preserve">vs CURRENT QUOTING</t>
  </si>
  <si>
    <t xml:space="preserve">REVENUE COLLECTED</t>
  </si>
  <si>
    <t xml:space="preserve">vs $180k TARGET</t>
  </si>
  <si>
    <t xml:space="preserve">50%  — Very conservative</t>
  </si>
  <si>
    <t xml:space="preserve">55%  — Conservative</t>
  </si>
  <si>
    <t xml:space="preserve">60%  — Moderate</t>
  </si>
  <si>
    <t xml:space="preserve">60%  — Your actual rate</t>
  </si>
  <si>
    <t xml:space="preserve">65%  — Improved conversion</t>
  </si>
  <si>
    <t xml:space="preserve">70%  — Strong conversion</t>
  </si>
  <si>
    <t xml:space="preserve">75%  — Excellent conversion</t>
  </si>
  <si>
    <t xml:space="preserve">80%  — Best case</t>
  </si>
  <si>
    <t xml:space="preserve">  QUOTE SIZE vs VOLUME  ·  How many quotes needed per month at $297,692 target volume</t>
  </si>
  <si>
    <t xml:space="preserve">AVG QUOTE SIZE</t>
  </si>
  <si>
    <t xml:space="preserve">QUOTES NEEDED/MONTH</t>
  </si>
  <si>
    <t xml:space="preserve">vs CURRENT PACE</t>
  </si>
  <si>
    <t xml:space="preserve">ANN. REVENUE AT TARGET</t>
  </si>
  <si>
    <t xml:space="preserve">OPERATIONAL FEASIBILITY</t>
  </si>
  <si>
    <t xml:space="preserve">Low — $3k avg</t>
  </si>
  <si>
    <t xml:space="preserve">High volume</t>
  </si>
  <si>
    <t xml:space="preserve">Below avg — $4k</t>
  </si>
  <si>
    <t xml:space="preserve">Near avg — $5k</t>
  </si>
  <si>
    <t xml:space="preserve">Current avg — $5,370</t>
  </si>
  <si>
    <t xml:space="preserve">Good — $6k avg</t>
  </si>
  <si>
    <t xml:space="preserve">Strong — $7k avg</t>
  </si>
  <si>
    <t xml:space="preserve">High — $8k avg</t>
  </si>
  <si>
    <t xml:space="preserve">Premium — $10k avg</t>
  </si>
  <si>
    <t xml:space="preserve">Achievable</t>
  </si>
  <si>
    <t xml:space="preserve">  REVENUE BRIDGE  ·  Where the money is and what action unlocks it</t>
  </si>
  <si>
    <t xml:space="preserve">REVENUE BUCKET</t>
  </si>
  <si>
    <t xml:space="preserve">ACTION REQUIRED</t>
  </si>
  <si>
    <t xml:space="preserve">WORK PERFORMED — awaiting invoice</t>
  </si>
  <si>
    <t xml:space="preserve">IMMEDIATE</t>
  </si>
  <si>
    <t xml:space="preserve">30 tasks completed. Raise invoices immediately — cash is ready to collect.</t>
  </si>
  <si>
    <t xml:space="preserve">WORK IN PROGRESS — technician on site</t>
  </si>
  <si>
    <t xml:space="preserve">THIS WEEK</t>
  </si>
  <si>
    <t xml:space="preserve">7 tasks currently being worked. Follow up technicians for completion.</t>
  </si>
  <si>
    <t xml:space="preserve">READY — no technician assigned yet</t>
  </si>
  <si>
    <t xml:space="preserve">18 tasks approved, dispatching needed. $67,871 sitting idle.</t>
  </si>
  <si>
    <t xml:space="preserve">SCHEDULED — booked and upcoming</t>
  </si>
  <si>
    <t xml:space="preserve">THIS MONTH</t>
  </si>
  <si>
    <t xml:space="preserve">52 tasks booked in. Will convert on completion and invoicing.</t>
  </si>
  <si>
    <t xml:space="preserve">SUBMITTED QUOTES — awaiting authorisation</t>
  </si>
  <si>
    <t xml:space="preserve">26 quotes pending. Chase authorisation to unlock.</t>
  </si>
  <si>
    <t xml:space="preserve">AUTHORISED BACKLOG — schedule pending</t>
  </si>
  <si>
    <t xml:space="preserve">NEXT 30 DAYS</t>
  </si>
  <si>
    <t xml:space="preserve">63 authorised revisit tasks need scheduling. Quote approved, just needs a date.</t>
  </si>
  <si>
    <t xml:space="preserve">TOTAL ACCESSIBLE REVENUE</t>
  </si>
  <si>
    <t xml:space="preserve">  MARGIN TARGET ANALYSIS  ·  Current: 23.3%  ·  Each 1% improvement = $4,414 more gross profit</t>
  </si>
  <si>
    <t xml:space="preserve">MARGIN TARGET</t>
  </si>
  <si>
    <t xml:space="preserve">GROSS PROFIT ($)</t>
  </si>
  <si>
    <t xml:space="preserve">vs CURRENT GP ($)</t>
  </si>
  <si>
    <t xml:space="preserve">COST NEEDED ($)</t>
  </si>
  <si>
    <t xml:space="preserve">MONTHLY GP</t>
  </si>
  <si>
    <t xml:space="preserve">20%  — Below current</t>
  </si>
  <si>
    <t xml:space="preserve">22%  — Slightly below</t>
  </si>
  <si>
    <t xml:space="preserve">23.3%  — Current actual</t>
  </si>
  <si>
    <t xml:space="preserve">25%  — Industry benchmark</t>
  </si>
  <si>
    <t xml:space="preserve">27%  — Good</t>
  </si>
  <si>
    <t xml:space="preserve">30%  — Strong</t>
  </si>
  <si>
    <t xml:space="preserve">35%  — Excellent</t>
  </si>
  <si>
    <t xml:space="preserve">  MONTHLY REVENUE ACTUALS  ·  Finalised quote value by month vs $180k target</t>
  </si>
  <si>
    <t xml:space="preserve">MONTH</t>
  </si>
  <si>
    <t xml:space="preserve">QUOTES RAISED</t>
  </si>
  <si>
    <t xml:space="preserve">TOTAL QUOTED ($)</t>
  </si>
  <si>
    <t xml:space="preserve">FINALISED REV ($)</t>
  </si>
  <si>
    <t xml:space="preserve">vs $180k</t>
  </si>
  <si>
    <t xml:space="preserve">ATTAINMENT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</si>
  <si>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</si>
  <si>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</si>
  <si>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</si>
  <si>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</si>
  <si>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</si>
  <si>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</si>
  <si>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</si>
  <si>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</si>
  <si>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</si>
  <si>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</si>
  <si>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</si>
  <si>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  WHAT NEEDS TO CHANGE  ·  Ranked by revenue impact — the 4 levers to hit $180k/month</t>
  </si>
  <si>
    <t xml:space="preserve">LEVER</t>
  </si>
  <si>
    <t xml:space="preserve">DETAIL</t>
  </si>
  <si>
    <t xml:space="preserve">IMPACT ($)</t>
  </si>
  <si>
    <t xml:space="preserve">INCREASE QUOTE VOLUME</t>
  </si>
  <si>
    <t xml:space="preserve">Quoting $48,551/month — need $297,692/month. That is 55 quotes/month vs ~9 current.</t>
  </si>
  <si>
    <t xml:space="preserve">INVOICE COMPLETED WORK</t>
  </si>
  <si>
    <t xml:space="preserve">31 tasks PERFORMED and not invoiced. Value: $10,960. This money is earned — raise invoices now.</t>
  </si>
  <si>
    <t xml:space="preserve">DISPATCH READY TASKS</t>
  </si>
  <si>
    <t xml:space="preserve">24 tasks READY but unassigned. Value: $67,871. Assigning a tech turns these into revenue this month.</t>
  </si>
  <si>
    <t xml:space="preserve">IMPROVE GROSS MARGIN</t>
  </si>
  <si>
    <t xml:space="preserve">At 23.3% margin, every 1% improvement = $4,414 more GP. Target 25% adds $7,338 to gross profit.</t>
  </si>
  <si>
    <t xml:space="preserve">ONGOING</t>
  </si>
  <si>
    <t xml:space="preserve">  FLAMESAFE FIRE  ·  Financial Analysis &amp; Budget Tracker</t>
  </si>
  <si>
    <t xml:space="preserve">  Monthly target: $180,000  ·  April 2026</t>
  </si>
  <si>
    <t xml:space="preserve">  CORE ASSUMPTIONS &amp; TARGETS</t>
  </si>
  <si>
    <t xml:space="preserve">% OF TARGET</t>
  </si>
  <si>
    <t xml:space="preserve">NOTES / SOURCE</t>
  </si>
  <si>
    <t xml:space="preserve">Monthly Revenue Target ($)</t>
  </si>
  <si>
    <t xml:space="preserve">Blue = editable input — change to model scenarios</t>
  </si>
  <si>
    <t xml:space="preserve">Total Pipeline — All Tasks</t>
  </si>
  <si>
    <t xml:space="preserve">Sum of Task Value across all 196 tasks in Uptick</t>
  </si>
  <si>
    <t xml:space="preserve">Quotes Submitted — Value</t>
  </si>
  <si>
    <t xml:space="preserve">26 quotes awaiting client approval</t>
  </si>
  <si>
    <t xml:space="preserve">Quotes Finalised — Value</t>
  </si>
  <si>
    <t xml:space="preserve">52 quotes won and approved</t>
  </si>
  <si>
    <t xml:space="preserve">Repair Tasks — Total Value</t>
  </si>
  <si>
    <t xml:space="preserve">124 repair tasks</t>
  </si>
  <si>
    <t xml:space="preserve">Callout Tasks — Total Value</t>
  </si>
  <si>
    <t xml:space="preserve">81 callout tasks</t>
  </si>
  <si>
    <t xml:space="preserve">Invoiced This Period</t>
  </si>
  <si>
    <t xml:space="preserve">Tasks marked Invoiced in Uptick billing module</t>
  </si>
  <si>
    <t xml:space="preserve">Target Attainment — Finalised</t>
  </si>
  <si>
    <t xml:space="preserve">Finalised quote value ÷ monthly target</t>
  </si>
  <si>
    <t xml:space="preserve">Target Attainment — Invoiced</t>
  </si>
  <si>
    <t xml:space="preserve">Invoiced value ÷ monthly target</t>
  </si>
  <si>
    <t xml:space="preserve">Pipeline Coverage Ratio</t>
  </si>
  <si>
    <t xml:space="preserve">Total pipeline ÷ monthly target</t>
  </si>
  <si>
    <t xml:space="preserve">  QUOTE FINANCIAL BREAKDOWN  ·  Material / Labour / Margin Analysis</t>
  </si>
  <si>
    <t xml:space="preserve">QUOTE COUNT</t>
  </si>
  <si>
    <t xml:space="preserve">SUBTOTAL</t>
  </si>
  <si>
    <t xml:space="preserve">TOTAL COST</t>
  </si>
  <si>
    <t xml:space="preserve">GROSS MARGIN %</t>
  </si>
  <si>
    <t xml:space="preserve">TOTAL (INC GST)</t>
  </si>
  <si>
    <t xml:space="preserve">TOTAL</t>
  </si>
  <si>
    <t xml:space="preserve">  BUDGET &amp; COST TRACKING  ·  Repairs / Labour / Materials</t>
  </si>
  <si>
    <t xml:space="preserve">COST CATEGORY</t>
  </si>
  <si>
    <t xml:space="preserve">BUDGET ($)</t>
  </si>
  <si>
    <t xml:space="preserve">ACTUAL ($)</t>
  </si>
  <si>
    <t xml:space="preserve">VARIANCE ($)</t>
  </si>
  <si>
    <t xml:space="preserve">% USED</t>
  </si>
  <si>
    <t xml:space="preserve">Labour — Field Technicians</t>
  </si>
  <si>
    <t xml:space="preserve">Materials — Detection Devices</t>
  </si>
  <si>
    <t xml:space="preserve">Materials — Ancillary/Consumables</t>
  </si>
  <si>
    <t xml:space="preserve">Subcontractor / Contractor Costs</t>
  </si>
  <si>
    <t xml:space="preserve">Vehicle &amp; Travel</t>
  </si>
  <si>
    <t xml:space="preserve">Overhead Allocation</t>
  </si>
  <si>
    <t xml:space="preserve">Warranty &amp; Rework Allowance</t>
  </si>
  <si>
    <t xml:space="preserve">  Flamesafe Fire  —  Schedule Register  ·  180 Scheduled Tasks</t>
  </si>
  <si>
    <t xml:space="preserve">  Sorted by date  ·  ⚠ OVERLAP = same tech same day  ·  Totals update with filters</t>
  </si>
  <si>
    <t xml:space="preserve">TECH</t>
  </si>
  <si>
    <t xml:space="preserve">OVERLAP?</t>
  </si>
  <si>
    <t xml:space="preserve">203-209 Northumberland Street, Liverpool - NS</t>
  </si>
  <si>
    <t xml:space="preserve">CEVA - 9-11 Distribution Drive, Orchard Hills</t>
  </si>
  <si>
    <t xml:space="preserve">Silverwater Industrial Park -  Corner Fariola</t>
  </si>
  <si>
    <t xml:space="preserve">Royal Life Saving Academy - 47 Lovell Road, D</t>
  </si>
  <si>
    <t xml:space="preserve">SP 722 - 167 Victoria Road, Bellevue Hill, NS</t>
  </si>
  <si>
    <t xml:space="preserve">Australasia Chambers - 2 Martin Place, Sydney</t>
  </si>
  <si>
    <t xml:space="preserve">Kraft Heinz - 92-96 Station Road, Seven Hills</t>
  </si>
  <si>
    <t xml:space="preserve">Pengton - 80 George Street, Parramatta, NSW 2</t>
  </si>
  <si>
    <t xml:space="preserve">Fred Health &amp; Bleach - 24 Rothschild, Roseber</t>
  </si>
  <si>
    <t xml:space="preserve">Costas - 4 Beach Street, Eastern Creek, NSW 2</t>
  </si>
  <si>
    <t xml:space="preserve">Westlands Industrial Estate - 33-45 James Ers</t>
  </si>
  <si>
    <t xml:space="preserve">Ontex - 5 Wonderland Drive, Eastern Creek, NS</t>
  </si>
  <si>
    <t xml:space="preserve">Andrews Meats - 38 Birnie Avenue, Lidcombe, N</t>
  </si>
  <si>
    <t xml:space="preserve">Metrolink Corporate Park - 197-201 Coward Str</t>
  </si>
  <si>
    <t xml:space="preserve">MONDC - 13 Bushmaster Avenue, Moorebank, NSW </t>
  </si>
  <si>
    <t xml:space="preserve">Foothills Distribution Centre - 30 Lidco Stre</t>
  </si>
  <si>
    <t xml:space="preserve">Elizabeth Towers -  418A Elizabeth Street, Su</t>
  </si>
  <si>
    <t xml:space="preserve">AUSTCOR - 159-163 Newton Road  Wetherell Park</t>
  </si>
  <si>
    <t xml:space="preserve">223-225 Liverpool Street, Darlinghurst, NSW 2</t>
  </si>
  <si>
    <t xml:space="preserve">⚠ OVERLAP</t>
  </si>
  <si>
    <t xml:space="preserve">SP 74405 - The Northerly - 717 Anzac Parade  </t>
  </si>
  <si>
    <t xml:space="preserve">SP 74790 - The Panorama - 717 Anzac Parade  M</t>
  </si>
  <si>
    <t xml:space="preserve">Storhub - 128 Milperra Road, Revesby, NSW 221</t>
  </si>
  <si>
    <t xml:space="preserve">De Luxe - 7 Blackfriars Street, Chippendale, </t>
  </si>
  <si>
    <t xml:space="preserve">Woolworths - Building 1 Kiaora Lands -  1 Kia</t>
  </si>
  <si>
    <t xml:space="preserve">Mercedes Benz - 43-47 O’Riordan Street, Alexa</t>
  </si>
  <si>
    <t xml:space="preserve">T-26441</t>
  </si>
  <si>
    <t xml:space="preserve">Goodman AU545 - Interlink Industrial Estate -</t>
  </si>
  <si>
    <t xml:space="preserve">Frutex - 20 St Albans Road, Kingsgrove, NSW 2</t>
  </si>
  <si>
    <t xml:space="preserve">Rural Fire Brigade - 42 Lamb Street, Glendenn</t>
  </si>
  <si>
    <t xml:space="preserve">T-28218</t>
  </si>
  <si>
    <t xml:space="preserve">Goodman AU122 - Showground Business Park 12 -</t>
  </si>
  <si>
    <t xml:space="preserve">T-25885</t>
  </si>
  <si>
    <t xml:space="preserve">Healthcare Logistics</t>
  </si>
  <si>
    <t xml:space="preserve">State Library of NSW - 1 Shakespeare Place, S</t>
  </si>
  <si>
    <t xml:space="preserve">T-27606</t>
  </si>
  <si>
    <t xml:space="preserve">Nine Radio L1 Building C - 33-35 Saunders Str</t>
  </si>
  <si>
    <t xml:space="preserve">Radio 2GB Sydney Pty Ltd</t>
  </si>
  <si>
    <t xml:space="preserve">ARBOUR - 63-65 Burrows Road, Alexandria, NSW </t>
  </si>
  <si>
    <t xml:space="preserve">Goodman AU546 - Interlink Industrial Estate -</t>
  </si>
  <si>
    <t xml:space="preserve">Goodman AU210 - Gateway Industrial Estate - B</t>
  </si>
  <si>
    <t xml:space="preserve">ACU - Building 520 - 3 Berry Street, North Sy</t>
  </si>
  <si>
    <t xml:space="preserve">Jaycar Electronics Group - 46 Eastern Creek D</t>
  </si>
  <si>
    <t xml:space="preserve">N&amp;A &amp; ACR - 10-12 Distribution Drive, Orchard</t>
  </si>
  <si>
    <t xml:space="preserve">Goodman AU099 - 31 Heathcote Road, Moorebank,</t>
  </si>
  <si>
    <t xml:space="preserve">Ya Zhou Wen Hua Enterprises - 541-543 Kent St</t>
  </si>
  <si>
    <t xml:space="preserve">Emirates - L17 - 1 York Street, Sydney, NSW 2</t>
  </si>
  <si>
    <t xml:space="preserve">Linfox - 3 Harris Avenue, Marsden Park, NSW 2</t>
  </si>
  <si>
    <t xml:space="preserve">KB House - 72-76 Archer Street, Chatswood, NS</t>
  </si>
  <si>
    <t xml:space="preserve">By the Bay Investments - 2 Giffnock Avenue, N</t>
  </si>
  <si>
    <t xml:space="preserve">(ROC) Rail Operations Centre - Mandible &amp; Wyn</t>
  </si>
  <si>
    <t xml:space="preserve">T-32190</t>
  </si>
  <si>
    <t xml:space="preserve">COLES RRM - 54 Templar Road, Erskine Park, NS</t>
  </si>
  <si>
    <t xml:space="preserve">Cotton King - 95 Bonds Road,  Punchbowl, NSW </t>
  </si>
  <si>
    <t xml:space="preserve">NKS - 2 Eden Park Drive, Macquarie Park, NSW </t>
  </si>
  <si>
    <t xml:space="preserve">Goodman AU002 - Slough Business Park - 2 Slou</t>
  </si>
  <si>
    <t xml:space="preserve">T-32636</t>
  </si>
  <si>
    <t xml:space="preserve">Goodman - AU881- 65 Epping Road, Macquarie Pa</t>
  </si>
  <si>
    <t xml:space="preserve">Pittking Properties - 175-181 Oxford Street, </t>
  </si>
  <si>
    <t xml:space="preserve">T-33436</t>
  </si>
  <si>
    <t xml:space="preserve">Veolia Water Operations Pty </t>
  </si>
  <si>
    <t xml:space="preserve">LOGOS - Building 5 - 145 Hollinsworth Road, M</t>
  </si>
  <si>
    <t xml:space="preserve">Goodman - AU821 City West Office Park - Build</t>
  </si>
  <si>
    <t xml:space="preserve">Baxter - 164 Newton Road, Wetherill Park, NSW</t>
  </si>
  <si>
    <t xml:space="preserve">T-33795</t>
  </si>
  <si>
    <t xml:space="preserve">Coles CFC - 154 Cowpasture Road, Wetherill Pa</t>
  </si>
  <si>
    <t xml:space="preserve">Toll - 11A Greenhills Avenue, Moorebank, NSW </t>
  </si>
  <si>
    <t xml:space="preserve">Building B1, B2, B3 - 5 Williamson Rd, Ingleb</t>
  </si>
  <si>
    <t xml:space="preserve">T-34024</t>
  </si>
  <si>
    <t xml:space="preserve">Space 207 - 207 Pacific Highway, St Leonards,</t>
  </si>
  <si>
    <t xml:space="preserve">T-34126</t>
  </si>
  <si>
    <t xml:space="preserve">Precinct 5 AU186 - 3 Tundra Close, Kemps Kree</t>
  </si>
  <si>
    <t xml:space="preserve">T-34400</t>
  </si>
  <si>
    <t xml:space="preserve">Gateway Business Park - Unit 3/9/10 - 63-79 P</t>
  </si>
  <si>
    <t xml:space="preserve">PFM Corp (BLDG 2) - 147-151 Newton Road, Weth</t>
  </si>
  <si>
    <t xml:space="preserve">T-34124</t>
  </si>
  <si>
    <t xml:space="preserve">Blacktown City Council - 81-85 Flushcombe Roa</t>
  </si>
  <si>
    <t xml:space="preserve">T-34662</t>
  </si>
  <si>
    <t xml:space="preserve">(AU642) 70 Euston Road, Alexandria</t>
  </si>
  <si>
    <t xml:space="preserve">Bronson &amp; Jacobs - 70 Marple Avenue, Villawoo</t>
  </si>
  <si>
    <t xml:space="preserve">T-34783</t>
  </si>
  <si>
    <t xml:space="preserve">71 Owen Street, Glendenning, NSW 2761</t>
  </si>
  <si>
    <t xml:space="preserve">Goodman AU543 - 33-38 Quarry Road (Bld B, Bld</t>
  </si>
  <si>
    <t xml:space="preserve">Club Ashfield - 1-11 Charlotte Street, Ashfie</t>
  </si>
  <si>
    <t xml:space="preserve">T-32691</t>
  </si>
  <si>
    <t xml:space="preserve">Goodman AU645 - Campus Business Park - 350-37</t>
  </si>
  <si>
    <t xml:space="preserve">ACU - Building 532 - 8-20 Napier Street, Nort</t>
  </si>
  <si>
    <t xml:space="preserve">T-35476</t>
  </si>
  <si>
    <t xml:space="preserve">T-32380</t>
  </si>
  <si>
    <t xml:space="preserve">POLYCELL - 20-22 Lidco Street, Arndell Park, </t>
  </si>
  <si>
    <t xml:space="preserve">Polycell NSW Pty Ltd</t>
  </si>
  <si>
    <t xml:space="preserve">T-35784</t>
  </si>
  <si>
    <t xml:space="preserve">372-394 Elizabeth Street, Surry Hills, NSW 20</t>
  </si>
  <si>
    <t xml:space="preserve">Goodman AU240 - Park View Business Park - 3 T</t>
  </si>
  <si>
    <t xml:space="preserve">NIMBE - 39-47 Regent Street, Chippendale, NSW</t>
  </si>
  <si>
    <t xml:space="preserve">ACU - Building 526 - 8-10 Berry Street, North</t>
  </si>
  <si>
    <t xml:space="preserve">T-36664</t>
  </si>
  <si>
    <t xml:space="preserve">Goodman AU059 Lidcombe Business Park (Buildin</t>
  </si>
  <si>
    <t xml:space="preserve">Landhop Chatswood - 11 Spring Street, Chatswo</t>
  </si>
  <si>
    <t xml:space="preserve">T-36637</t>
  </si>
  <si>
    <t xml:space="preserve">T-37226</t>
  </si>
  <si>
    <t xml:space="preserve">ASICS - 6 Darling Street, Marsden Park - NSW </t>
  </si>
  <si>
    <t xml:space="preserve">Ganian Pty Ltd ATF Blacktown</t>
  </si>
  <si>
    <t xml:space="preserve">T-37324</t>
  </si>
  <si>
    <t xml:space="preserve">Jacfin Ricoh - 4  Telopea Place, Eastern Cree</t>
  </si>
  <si>
    <t xml:space="preserve">T-37951</t>
  </si>
  <si>
    <t xml:space="preserve">Costco Wholesale - 17-21 Parramatta Road, Aub</t>
  </si>
  <si>
    <t xml:space="preserve">Costco Wholesale Auburn</t>
  </si>
  <si>
    <t xml:space="preserve">T-37161</t>
  </si>
  <si>
    <t xml:space="preserve">C/-JLL</t>
  </si>
  <si>
    <t xml:space="preserve">T-37987</t>
  </si>
  <si>
    <t xml:space="preserve">T-36038</t>
  </si>
  <si>
    <t xml:space="preserve">3M - 1A Rivett Road, North Ryde, NSW 2113</t>
  </si>
  <si>
    <t xml:space="preserve">Quality Green Metro Pty Ltd </t>
  </si>
  <si>
    <t xml:space="preserve">T-38083</t>
  </si>
  <si>
    <t xml:space="preserve">The Trustee for Smithfield I</t>
  </si>
  <si>
    <t xml:space="preserve">T-36632</t>
  </si>
  <si>
    <t xml:space="preserve">45 Britton St, Smithfield</t>
  </si>
  <si>
    <t xml:space="preserve">CBIIP 45B Pty Ltd</t>
  </si>
  <si>
    <t xml:space="preserve">T-36634</t>
  </si>
  <si>
    <t xml:space="preserve">78 Templar Road, Erskine Park, NSW 2759</t>
  </si>
  <si>
    <t xml:space="preserve">LHD TC Pty Ltd ATF LHD Sub I</t>
  </si>
  <si>
    <t xml:space="preserve">T-38183</t>
  </si>
  <si>
    <t xml:space="preserve">LOGOS - Building 4 - 145 Hollinsworth Road, M</t>
  </si>
  <si>
    <t xml:space="preserve">T-34391</t>
  </si>
  <si>
    <t xml:space="preserve">City of Parramatta Council - 9 Wentworth Stre</t>
  </si>
  <si>
    <t xml:space="preserve">Goodman AU820 - City West Office Park - Build</t>
  </si>
  <si>
    <t xml:space="preserve">Freight Assist Australia - 26 Pavesi Street, </t>
  </si>
  <si>
    <t xml:space="preserve">  FLAMESAFE FIRE  —  Technician Performance KPI Register  ·  All 12 Technicians</t>
  </si>
  <si>
    <t xml:space="preserve">  08 April 2026  ·  Completion rate, value, and workload per technician</t>
  </si>
  <si>
    <t xml:space="preserve">TASKS ASSIGNED</t>
  </si>
  <si>
    <t xml:space="preserve">TASKS PERFORMED</t>
  </si>
  <si>
    <t xml:space="preserve">COMPLETION %</t>
  </si>
  <si>
    <t xml:space="preserve">TOTAL VALUE ($)</t>
  </si>
  <si>
    <t xml:space="preserve">REPAIR VALUE ($)</t>
  </si>
  <si>
    <t xml:space="preserve">CALLOUT VALUE ($)</t>
  </si>
  <si>
    <t xml:space="preserve">REVISIT COUNT</t>
  </si>
  <si>
    <t xml:space="preserve">PRIORITY — CRITICAL</t>
  </si>
  <si>
    <t xml:space="preserve">PRIORITY — HIGH</t>
  </si>
  <si>
    <t xml:space="preserve">% OF TEAM VALUE</t>
  </si>
  <si>
    <t xml:space="preserve">TOTAL / AVERAGE</t>
  </si>
  <si>
    <t xml:space="preserve">  TECHNICIAN VALUE COMPARISON  ·  Total Task Value by Technician</t>
  </si>
  <si>
    <t xml:space="preserve">Gordon</t>
  </si>
  <si>
    <t xml:space="preserve">Nu</t>
  </si>
  <si>
    <t xml:space="preserve">John</t>
  </si>
  <si>
    <t xml:space="preserve">Bailey</t>
  </si>
  <si>
    <t xml:space="preserve">Darren</t>
  </si>
  <si>
    <t xml:space="preserve">Ryan</t>
  </si>
  <si>
    <t xml:space="preserve">Nick</t>
  </si>
  <si>
    <t xml:space="preserve">Jade</t>
  </si>
  <si>
    <t xml:space="preserve">Haider</t>
  </si>
  <si>
    <t xml:space="preserve">Tim</t>
  </si>
  <si>
    <t xml:space="preserve">Jimmy</t>
  </si>
  <si>
    <t xml:space="preserve">  FLAMESAFE FIRE  —  Client Revenue &amp; Account Analysis</t>
  </si>
  <si>
    <t xml:space="preserve">  All clients ranked by total task value  ·  08 April 2026</t>
  </si>
  <si>
    <t xml:space="preserve">CLIENT NAME</t>
  </si>
  <si>
    <t xml:space="preserve">% OF REVENUE</t>
  </si>
  <si>
    <t xml:space="preserve">RANK</t>
  </si>
  <si>
    <t xml:space="preserve">Lendlease Real Estate Investments Ltd C/- JLL</t>
  </si>
  <si>
    <t xml:space="preserve">Goodman Property Services (Aust) Pty Limited SC01822</t>
  </si>
  <si>
    <t xml:space="preserve">The Trustee For Gemstone Arndell Park Asset</t>
  </si>
  <si>
    <t xml:space="preserve">Retail Ready Operations Australia</t>
  </si>
  <si>
    <t xml:space="preserve">Inner West Council C/- Knight Frank Australia Pty Ltd</t>
  </si>
  <si>
    <t xml:space="preserve">Sterilisation Technologies Australia Pty Ltd</t>
  </si>
  <si>
    <t xml:space="preserve">Centuria Property Funds No. 2 Ltd ACF ACN 062 671 872 Pty Ltd  ATF BIPT Marple Ave Sub Trust Level 41, Chifley Tower 2 Chifley Square  SYDNEY NSW 2000</t>
  </si>
  <si>
    <t xml:space="preserve">Centuria Institutional Investment No. 3 Pty Ltd ATF BIPT Preston No. 1 Sub Trust</t>
  </si>
  <si>
    <t xml:space="preserve">The Trust Company (Australia) Ltd ATF Ascendas Business Park Trust No.1 C/- Colliers</t>
  </si>
  <si>
    <t xml:space="preserve">Australian Catholic Universities (ACU)</t>
  </si>
  <si>
    <t xml:space="preserve">C/- Steven Krulis Real Estate Consultants</t>
  </si>
  <si>
    <t xml:space="preserve">Logos Property Management Pty Limited</t>
  </si>
  <si>
    <t xml:space="preserve">Pengton No. 1 Pty Ltd ATF Pengton No. 1 Unit Trust</t>
  </si>
  <si>
    <t xml:space="preserve">TCAL ATF Altis Bulky Sub Trust 3 Erskine Park C/- Knight Frank Australia Pty Ltd</t>
  </si>
  <si>
    <t xml:space="preserve">George Vasili &amp; Nick Vasili C/- CBRE</t>
  </si>
  <si>
    <t xml:space="preserve">Paspaley Pearls Properties Pty Ltd</t>
  </si>
  <si>
    <t xml:space="preserve">Altis Bulky Retail ATF Altis Bulky Sub Trust 4 The Trust Company (Australia) LTD ACF Altis Bulky Sub Trust 4</t>
  </si>
  <si>
    <t xml:space="preserve">Unions NSW Property and Services Limited</t>
  </si>
  <si>
    <t xml:space="preserve">One Funds Management Limited ATF Ben Lee Property Trust No 5</t>
  </si>
  <si>
    <t xml:space="preserve">Vanessa Aus Sub TC Pty Ltd ATF Vanessa Aus Sub Trust C/- CBRE Pty Ltd NSW Rents Trust</t>
  </si>
  <si>
    <t xml:space="preserve">Cambooya Properties C/o Knight Frank Australia Pty Ltd</t>
  </si>
  <si>
    <t xml:space="preserve">The Trust Company (Australia) Limited ATF FIP Hold 1 Trust</t>
  </si>
  <si>
    <t xml:space="preserve">Ingleburn Industrial Property Co Pty Ltd</t>
  </si>
  <si>
    <t xml:space="preserve">Greater Sydney Parklands C/ - JLL</t>
  </si>
  <si>
    <t xml:space="preserve">Mandarin Developments Pty Ltd C-/ Colliers International (NSW) Pty Ltd</t>
  </si>
  <si>
    <t xml:space="preserve">AM Property Plus C/- IOOF Investment Services Ltd C-/ Colliers</t>
  </si>
  <si>
    <t xml:space="preserve">Forza Capital Pty Ltd ATF Forza 223 Liverpool Fund</t>
  </si>
  <si>
    <t xml:space="preserve">Ashfield Catholic &amp; Community Club Ltd</t>
  </si>
  <si>
    <t xml:space="preserve">Vassk Investments Pty Ltd ATF Greenhills Estate Unit Trust C/-CBRE</t>
  </si>
  <si>
    <t xml:space="preserve">CSOF Sub Trust No. 2 ABN 52 847 795 285</t>
  </si>
  <si>
    <t xml:space="preserve">N G P Investments (no 2) Pty Ltd  C/o Mercer Property Pty Ltd</t>
  </si>
  <si>
    <t xml:space="preserve">FlameSafe Fire Protection (Testing Purposes)</t>
  </si>
  <si>
    <t xml:space="preserve">The Trustee for Gemstone Lane Cove Asset</t>
  </si>
  <si>
    <t xml:space="preserve">CBIIP 17S Pty Ltd</t>
  </si>
  <si>
    <t xml:space="preserve">West Infill Sub TC PTY LTD ATF West Infill Sub II Trust C/- CBRE Pty Ltd</t>
  </si>
  <si>
    <t xml:space="preserve">Goodman Fielder Consumer Foods Pty Ltd</t>
  </si>
  <si>
    <t xml:space="preserve">Aliro Trusco 1 Pty Ltd ATF the 159-163 Newton Road Trust C/- Colliers</t>
  </si>
  <si>
    <t xml:space="preserve">Andrews Meat Industries Pty Ltd</t>
  </si>
  <si>
    <t xml:space="preserve">Barwon Investment Partners Pty Ltd ACN 116 012 009 as trustee of the Barwon Institutional Healthcare Property Fund ABN 20 296 879 068</t>
  </si>
  <si>
    <t xml:space="preserve">Goodman Property Services (Aust) Pty Limited  SC01822</t>
  </si>
  <si>
    <t xml:space="preserve">Kenneth R Moras Property Holdings Pty Ltd</t>
  </si>
  <si>
    <t xml:space="preserve">Talish Property Group C/- Knight Frank Australia Pty Ltd</t>
  </si>
  <si>
    <t xml:space="preserve">Nks (NSW) Pty Ltd C/- Dunnet Properties Pty Ltd Pty Ltd</t>
  </si>
  <si>
    <t xml:space="preserve">7 Box Sub TC Pty Ltd ATF 7 Box Sub Trust</t>
  </si>
  <si>
    <t xml:space="preserve">Cambooya Properties C/- Knight Frank Australia Pty Ltd</t>
  </si>
  <si>
    <t xml:space="preserve">The Trust Company Limited in its capacity as agent for CHPine ATF Minto Trust Bieson P/ L ATF the CHPIP Minto Trust</t>
  </si>
  <si>
    <t xml:space="preserve">Centuria Institutional Investment No. 3 Pty Ltd ATF AIR Enfield Trust</t>
  </si>
  <si>
    <t xml:space="preserve">ESSC, REM Colliers International</t>
  </si>
  <si>
    <t xml:space="preserve">Forza Capital Pty Ltd ATF Forza Liverpool Street Fund C/- CBRE Pty Ltd NSW Rents Trust</t>
  </si>
  <si>
    <t xml:space="preserve">Asia Property AU 1 ATF the Concerto Camellia Property Trust</t>
  </si>
  <si>
    <t xml:space="preserve">Ganian Pty Ltd ATF Blacktown Waste &amp; Quarrying Land Unit Trust</t>
  </si>
  <si>
    <t xml:space="preserve">The Trustee for Charter Hall Prime Industrial Fund C/- CBRE Pty Ltd CBRE</t>
  </si>
  <si>
    <t xml:space="preserve">The Trustee for Smithfield Industrial Property Trust</t>
  </si>
  <si>
    <t xml:space="preserve">LHD TC Pty Ltd ATF LHD Sub I Trust</t>
  </si>
  <si>
    <t xml:space="preserve">RAM Australia Elseie Street Buewood Trust</t>
  </si>
  <si>
    <t xml:space="preserve">DS Holdings and de Luxe Nominees C/O</t>
  </si>
  <si>
    <t xml:space="preserve">Charter Hall Holdings Pty Ltd</t>
  </si>
  <si>
    <t xml:space="preserve">C/- Commercial Portfolio Management Pty Ltd</t>
  </si>
  <si>
    <t xml:space="preserve">Quality Green Metro Pty Ltd as Trustee for Quality Green Metro Unity Trust</t>
  </si>
  <si>
    <t xml:space="preserve">  TOP 10 CLIENT REVENUE CHART</t>
  </si>
  <si>
    <t xml:space="preserve">Inner West Council C/- Knight 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</si>
</sst>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_);[RED]&quot;($&quot;#,##0\);\-"/>
    <numFmt numFmtId="166" formatCode="#,##0"/>
    <numFmt numFmtId="167" formatCode="dd/mm/yyyy"/>
    <numFmt numFmtId="168" formatCode="0.0%"/>
    <numFmt numFmtId="169" formatCode="\$#,##0_);[RED]&quot;($&quot;#,##0\);\-"/>
    <numFmt numFmtId="170" formatCode="0.0"/>
    <numFmt numFmtId="171" formatCode="&quot;+$&quot;#,##0;&quot;-$&quot;#,##0;\-"/>
    <numFmt numFmtId="172" formatCode="\+0.0;\-0.0;0.0"/>
    <numFmt numFmtId="173" formatCode="General"/>
    <numFmt numFmtId="174" formatCode="0.00\x"/>
  </numFmts>
  <fonts count="6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sz val="8"/>
      <color rgb="FF8BAABF"/>
      <name val="Calibri"/>
      <family val="0"/>
      <charset val="1"/>
    </font>
    <font>
      <b val="true"/>
      <sz val="7"/>
      <color rgb="FFAABBCC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9"/>
      <color rgb="FFDC2626"/>
      <name val="Calibri"/>
      <family val="0"/>
      <charset val="1"/>
    </font>
    <font>
      <b val="true"/>
      <sz val="9"/>
      <color rgb="FF111827"/>
      <name val="Calibri"/>
      <family val="0"/>
      <charset val="1"/>
    </font>
    <font>
      <sz val="9"/>
      <color rgb="FF111827"/>
      <name val="Calibri"/>
      <family val="0"/>
      <charset val="1"/>
    </font>
    <font>
      <sz val="9"/>
      <color rgb="FF374151"/>
      <name val="Calibri"/>
      <family val="0"/>
      <charset val="1"/>
    </font>
    <font>
      <sz val="9"/>
      <color rgb="FFD97706"/>
      <name val="Calibri"/>
      <family val="0"/>
      <charset val="1"/>
    </font>
    <font>
      <b val="true"/>
      <sz val="9"/>
      <color rgb="FFD97706"/>
      <name val="Calibri"/>
      <family val="0"/>
      <charset val="1"/>
    </font>
    <font>
      <b val="true"/>
      <sz val="9"/>
      <color rgb="FF0D9488"/>
      <name val="Calibri"/>
      <family val="0"/>
      <charset val="1"/>
    </font>
    <font>
      <sz val="9"/>
      <color rgb="FF16A34A"/>
      <name val="Calibri"/>
      <family val="0"/>
      <charset val="1"/>
    </font>
    <font>
      <sz val="9"/>
      <color rgb="FF6B7280"/>
      <name val="Calibri"/>
      <family val="0"/>
      <charset val="1"/>
    </font>
    <font>
      <sz val="9"/>
      <color rgb="FFDC2626"/>
      <name val="Calibri"/>
      <family val="0"/>
      <charset val="1"/>
    </font>
    <font>
      <b val="true"/>
      <sz val="9"/>
      <color rgb="FF7C3AED"/>
      <name val="Calibri"/>
      <family val="0"/>
      <charset val="1"/>
    </font>
    <font>
      <b val="true"/>
      <sz val="9"/>
      <color rgb="FF2563EB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i val="true"/>
      <sz val="9"/>
      <color rgb="FF94A3B8"/>
      <name val="Calibri"/>
      <family val="0"/>
      <charset val="1"/>
    </font>
    <font>
      <sz val="9"/>
      <color rgb="FF0D9488"/>
      <name val="Calibri"/>
      <family val="0"/>
      <charset val="1"/>
    </font>
    <font>
      <b val="true"/>
      <sz val="9"/>
      <color rgb="FF6B7280"/>
      <name val="Calibri"/>
      <family val="0"/>
      <charset val="1"/>
    </font>
    <font>
      <b val="true"/>
      <sz val="9"/>
      <color rgb="FF16A34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7"/>
      <color rgb="FF6B7280"/>
      <name val="Calibri"/>
      <family val="0"/>
      <charset val="1"/>
    </font>
    <font>
      <b val="true"/>
      <sz val="15"/>
      <color rgb="FF1C2B4A"/>
      <name val="Calibri"/>
      <family val="0"/>
      <charset val="1"/>
    </font>
    <font>
      <b val="true"/>
      <sz val="15"/>
      <color rgb="FF16A34A"/>
      <name val="Calibri"/>
      <family val="0"/>
      <charset val="1"/>
    </font>
    <font>
      <b val="true"/>
      <sz val="15"/>
      <color rgb="FF2563EB"/>
      <name val="Calibri"/>
      <family val="0"/>
      <charset val="1"/>
    </font>
    <font>
      <b val="true"/>
      <sz val="15"/>
      <color rgb="FF0D9488"/>
      <name val="Calibri"/>
      <family val="0"/>
      <charset val="1"/>
    </font>
    <font>
      <b val="true"/>
      <sz val="15"/>
      <color rgb="FF334155"/>
      <name val="Calibri"/>
      <family val="0"/>
      <charset val="1"/>
    </font>
    <font>
      <b val="true"/>
      <sz val="9"/>
      <color rgb="FF334155"/>
      <name val="Calibri"/>
      <family val="0"/>
      <charset val="1"/>
    </font>
    <font>
      <b val="true"/>
      <sz val="7"/>
      <color rgb="FFFFFFFF"/>
      <name val="Calibri"/>
      <family val="0"/>
      <charset val="1"/>
    </font>
    <font>
      <sz val="9"/>
      <color rgb="FF7C3AED"/>
      <name val="Calibri"/>
      <family val="0"/>
      <charset val="1"/>
    </font>
    <font>
      <sz val="9"/>
      <color rgb="FF2563EB"/>
      <name val="Calibri"/>
      <family val="0"/>
      <charset val="1"/>
    </font>
    <font>
      <b val="true"/>
      <sz val="15"/>
      <color rgb="FFDC2626"/>
      <name val="Calibri"/>
      <family val="0"/>
      <charset val="1"/>
    </font>
    <font>
      <b val="true"/>
      <sz val="15"/>
      <color rgb="FF7C3AED"/>
      <name val="Calibri"/>
      <family val="0"/>
      <charset val="1"/>
    </font>
    <font>
      <b val="true"/>
      <sz val="15"/>
      <color rgb="FFD97706"/>
      <name val="Calibri"/>
      <family val="0"/>
      <charset val="1"/>
    </font>
    <font>
      <i val="true"/>
      <sz val="7"/>
      <color rgb="FF6B7280"/>
      <name val="Calibri"/>
      <family val="0"/>
      <charset val="1"/>
    </font>
    <font>
      <b val="true"/>
      <sz val="9"/>
      <color rgb="FF1C2B4A"/>
      <name val="Calibri"/>
      <family val="0"/>
      <charset val="1"/>
    </font>
    <font>
      <b val="true"/>
      <sz val="10"/>
      <color rgb="FFDC2626"/>
      <name val="Calibri"/>
      <family val="0"/>
      <charset val="1"/>
    </font>
    <font>
      <i val="true"/>
      <sz val="8"/>
      <color rgb="FF374151"/>
      <name val="Calibri"/>
      <family val="0"/>
      <charset val="1"/>
    </font>
    <font>
      <b val="true"/>
      <sz val="10"/>
      <color rgb="FFD97706"/>
      <name val="Calibri"/>
      <family val="0"/>
      <charset val="1"/>
    </font>
    <font>
      <b val="true"/>
      <sz val="10"/>
      <color rgb="FF2563EB"/>
      <name val="Calibri"/>
      <family val="0"/>
      <charset val="1"/>
    </font>
    <font>
      <b val="true"/>
      <sz val="10"/>
      <color rgb="FF334155"/>
      <name val="Calibri"/>
      <family val="0"/>
      <charset val="1"/>
    </font>
    <font>
      <b val="true"/>
      <sz val="14"/>
      <color rgb="FFDC2626"/>
      <name val="Calibri"/>
      <family val="0"/>
      <charset val="1"/>
    </font>
    <font>
      <sz val="8"/>
      <color rgb="FF374151"/>
      <name val="Calibri"/>
      <family val="0"/>
      <charset val="1"/>
    </font>
    <font>
      <b val="true"/>
      <sz val="14"/>
      <color rgb="FFD97706"/>
      <name val="Calibri"/>
      <family val="0"/>
      <charset val="1"/>
    </font>
    <font>
      <b val="true"/>
      <sz val="14"/>
      <color rgb="FF2563EB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i val="true"/>
      <sz val="8"/>
      <color rgb="FF6B7280"/>
      <name val="Calibri"/>
      <family val="0"/>
      <charset val="1"/>
    </font>
    <font>
      <sz val="10"/>
      <color rgb="FF111827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sz val="9"/>
      <color rgb="FF92400E"/>
      <name val="Calibri"/>
      <family val="0"/>
      <charset val="1"/>
    </font>
    <font>
      <sz val="9"/>
      <color rgb="FF991B1B"/>
      <name val="Calibri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C2B4A"/>
        <bgColor rgb="FF111827"/>
      </patternFill>
    </fill>
    <fill>
      <patternFill patternType="solid">
        <fgColor rgb="FFF1F5F9"/>
        <bgColor rgb="FFEFF6FF"/>
      </patternFill>
    </fill>
    <fill>
      <patternFill patternType="solid">
        <fgColor rgb="FF2563EB"/>
        <bgColor rgb="FF0066CC"/>
      </patternFill>
    </fill>
    <fill>
      <patternFill patternType="solid">
        <fgColor rgb="FFD97706"/>
        <bgColor rgb="FFE85D04"/>
      </patternFill>
    </fill>
    <fill>
      <patternFill patternType="solid">
        <fgColor rgb="FFDC2626"/>
        <bgColor rgb="FF991B1B"/>
      </patternFill>
    </fill>
    <fill>
      <patternFill patternType="solid">
        <fgColor rgb="FF334155"/>
        <bgColor rgb="FF374151"/>
      </patternFill>
    </fill>
    <fill>
      <patternFill patternType="solid">
        <fgColor rgb="FFFEF2F2"/>
        <bgColor rgb="FFFFFBEB"/>
      </patternFill>
    </fill>
    <fill>
      <patternFill patternType="solid">
        <fgColor rgb="FFFEF3C7"/>
        <bgColor rgb="FFFEF9C3"/>
      </patternFill>
    </fill>
    <fill>
      <patternFill patternType="solid">
        <fgColor rgb="FFFEE2E2"/>
        <bgColor rgb="FFFEF2F2"/>
      </patternFill>
    </fill>
    <fill>
      <patternFill patternType="solid">
        <fgColor rgb="FFEDE9FE"/>
        <bgColor rgb="FFF1F5F9"/>
      </patternFill>
    </fill>
    <fill>
      <patternFill patternType="solid">
        <fgColor rgb="FFFFFBEB"/>
        <bgColor rgb="FFF8FAFC"/>
      </patternFill>
    </fill>
    <fill>
      <patternFill patternType="solid">
        <fgColor rgb="FFDBEAFE"/>
        <bgColor rgb="FFEDE9FE"/>
      </patternFill>
    </fill>
    <fill>
      <patternFill patternType="solid">
        <fgColor rgb="FFEFF6FF"/>
        <bgColor rgb="FFF1F5F9"/>
      </patternFill>
    </fill>
    <fill>
      <patternFill patternType="solid">
        <fgColor rgb="FFDCFCE7"/>
        <bgColor rgb="FFF0FDF4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F0FDF4"/>
        <bgColor rgb="FFF8FAFC"/>
      </patternFill>
    </fill>
    <fill>
      <patternFill patternType="solid">
        <fgColor rgb="FFFEF9C3"/>
        <bgColor rgb="FFFEF3C7"/>
      </patternFill>
    </fill>
  </fills>
  <borders count="4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>
        <color rgb="FFDC2626"/>
      </left>
      <right style="thin"/>
      <top style="thin"/>
      <bottom style="thin"/>
      <diagonal/>
    </border>
    <border diagonalUp="false" diagonalDown="false">
      <left style="medium">
        <color rgb="FFD97706"/>
      </left>
      <right style="thin"/>
      <top style="thin"/>
      <bottom style="thin"/>
      <diagonal/>
    </border>
    <border diagonalUp="false" diagonalDown="false">
      <left style="medium">
        <color rgb="FF2563EB"/>
      </left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>
        <color rgb="FF6B7280"/>
      </left>
      <right style="thin"/>
      <top style="thin"/>
      <bottom style="thin"/>
      <diagonal/>
    </border>
    <border diagonalUp="false" diagonalDown="false">
      <left style="medium">
        <color rgb="FF1C2B4A"/>
      </left>
      <right style="thin"/>
      <top style="medium"/>
      <bottom style="thin"/>
      <diagonal/>
    </border>
    <border diagonalUp="false" diagonalDown="false">
      <left style="medium">
        <color rgb="FF16A34A"/>
      </left>
      <right style="thin"/>
      <top style="medium"/>
      <bottom style="thin"/>
      <diagonal/>
    </border>
    <border diagonalUp="false" diagonalDown="false">
      <left style="medium">
        <color rgb="FF2563EB"/>
      </left>
      <right style="thin"/>
      <top style="medium"/>
      <bottom style="thin"/>
      <diagonal/>
    </border>
    <border diagonalUp="false" diagonalDown="false">
      <left style="medium">
        <color rgb="FF0D9488"/>
      </left>
      <right style="thin"/>
      <top style="medium"/>
      <bottom style="thin"/>
      <diagonal/>
    </border>
    <border diagonalUp="false" diagonalDown="false">
      <left style="medium">
        <color rgb="FF334155"/>
      </left>
      <right style="thin"/>
      <top style="medium"/>
      <bottom style="thin"/>
      <diagonal/>
    </border>
    <border diagonalUp="false" diagonalDown="false">
      <left style="medium">
        <color rgb="FF1C2B4A"/>
      </left>
      <right style="thin"/>
      <top style="thin"/>
      <bottom style="thin"/>
      <diagonal/>
    </border>
    <border diagonalUp="false" diagonalDown="false">
      <left style="medium">
        <color rgb="FF16A34A"/>
      </left>
      <right style="thin"/>
      <top style="thin"/>
      <bottom style="thin"/>
      <diagonal/>
    </border>
    <border diagonalUp="false" diagonalDown="false">
      <left style="medium">
        <color rgb="FF0D9488"/>
      </left>
      <right style="thin"/>
      <top style="thin"/>
      <bottom style="thin"/>
      <diagonal/>
    </border>
    <border diagonalUp="false" diagonalDown="false">
      <left style="medium">
        <color rgb="FF334155"/>
      </left>
      <right style="thin"/>
      <top style="thin"/>
      <bottom style="thin"/>
      <diagonal/>
    </border>
    <border diagonalUp="false" diagonalDown="false">
      <left style="medium">
        <color rgb="FF1C2B4A"/>
      </left>
      <right style="thin"/>
      <top style="thin"/>
      <bottom style="medium"/>
      <diagonal/>
    </border>
    <border diagonalUp="false" diagonalDown="false">
      <left style="medium">
        <color rgb="FF16A34A"/>
      </left>
      <right style="thin"/>
      <top style="thin"/>
      <bottom style="medium"/>
      <diagonal/>
    </border>
    <border diagonalUp="false" diagonalDown="false">
      <left style="medium">
        <color rgb="FF2563EB"/>
      </left>
      <right style="thin"/>
      <top style="thin"/>
      <bottom style="medium"/>
      <diagonal/>
    </border>
    <border diagonalUp="false" diagonalDown="false">
      <left style="medium">
        <color rgb="FF0D9488"/>
      </left>
      <right style="thin"/>
      <top style="thin"/>
      <bottom style="medium"/>
      <diagonal/>
    </border>
    <border diagonalUp="false" diagonalDown="false">
      <left style="medium">
        <color rgb="FF334155"/>
      </left>
      <right style="thin"/>
      <top style="thin"/>
      <bottom style="medium"/>
      <diagonal/>
    </border>
    <border diagonalUp="false" diagonalDown="false">
      <left style="medium">
        <color rgb="FF7C3AED"/>
      </left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>
        <color rgb="FF1C2B4A"/>
      </left>
      <right/>
      <top style="medium"/>
      <bottom style="thin"/>
      <diagonal/>
    </border>
    <border diagonalUp="false" diagonalDown="false">
      <left style="medium">
        <color rgb="FFDC2626"/>
      </left>
      <right/>
      <top style="medium"/>
      <bottom style="thin"/>
      <diagonal/>
    </border>
    <border diagonalUp="false" diagonalDown="false">
      <left style="medium">
        <color rgb="FF7C3AED"/>
      </left>
      <right/>
      <top style="medium"/>
      <bottom style="thin"/>
      <diagonal/>
    </border>
    <border diagonalUp="false" diagonalDown="false">
      <left style="medium">
        <color rgb="FFD97706"/>
      </left>
      <right style="thin"/>
      <top style="medium"/>
      <bottom style="thin"/>
      <diagonal/>
    </border>
    <border diagonalUp="false" diagonalDown="false">
      <left style="medium">
        <color rgb="FF1C2B4A"/>
      </left>
      <right/>
      <top style="thin"/>
      <bottom/>
      <diagonal/>
    </border>
    <border diagonalUp="false" diagonalDown="false">
      <left style="medium">
        <color rgb="FFDC2626"/>
      </left>
      <right/>
      <top style="thin"/>
      <bottom/>
      <diagonal/>
    </border>
    <border diagonalUp="false" diagonalDown="false">
      <left style="medium">
        <color rgb="FF7C3AED"/>
      </left>
      <right/>
      <top style="thin"/>
      <bottom/>
      <diagonal/>
    </border>
    <border diagonalUp="false" diagonalDown="false">
      <left style="medium">
        <color rgb="FFD97706"/>
      </left>
      <right style="thin"/>
      <top style="thin"/>
      <bottom/>
      <diagonal/>
    </border>
    <border diagonalUp="false" diagonalDown="false">
      <left style="medium">
        <color rgb="FF1C2B4A"/>
      </left>
      <right/>
      <top style="thin"/>
      <bottom style="medium"/>
      <diagonal/>
    </border>
    <border diagonalUp="false" diagonalDown="false">
      <left style="medium">
        <color rgb="FFDC2626"/>
      </left>
      <right/>
      <top style="thin"/>
      <bottom style="medium"/>
      <diagonal/>
    </border>
    <border diagonalUp="false" diagonalDown="false">
      <left style="medium">
        <color rgb="FF7C3AED"/>
      </left>
      <right/>
      <top style="thin"/>
      <bottom style="medium"/>
      <diagonal/>
    </border>
    <border diagonalUp="false" diagonalDown="false">
      <left style="medium">
        <color rgb="FFD97706"/>
      </left>
      <right style="thin"/>
      <top style="thin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>
        <color rgb="FFD97706"/>
      </left>
      <right/>
      <top style="thin"/>
      <bottom style="thin"/>
      <diagonal/>
    </border>
    <border diagonalUp="false" diagonalDown="false">
      <left style="thin">
        <color rgb="FFD97706"/>
      </left>
      <right/>
      <top style="thin"/>
      <bottom style="thin"/>
      <diagonal/>
    </border>
    <border diagonalUp="false" diagonalDown="false">
      <left style="medium">
        <color rgb="FFDC2626"/>
      </left>
      <right/>
      <top style="thin"/>
      <bottom style="thin"/>
      <diagonal/>
    </border>
    <border diagonalUp="false" diagonalDown="false">
      <left style="medium">
        <color rgb="FF2563EB"/>
      </left>
      <right/>
      <top style="thin"/>
      <bottom style="thin"/>
      <diagonal/>
    </border>
    <border diagonalUp="false" diagonalDown="false">
      <left style="medium">
        <color rgb="FF334155"/>
      </left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5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1" fillId="2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1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1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1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1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2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6" fillId="7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6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16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16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16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16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8" fillId="16" borderId="1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9" fillId="15" borderId="1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0" fillId="1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1" fillId="16" borderId="1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2" fillId="3" borderId="1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6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1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1" fillId="1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1" fillId="1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1" fillId="1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0" fillId="17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17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1" fillId="17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1" fillId="17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2" fillId="1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7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9" fillId="16" borderId="2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17" borderId="1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16" borderId="1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1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8" fillId="17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9" fillId="1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8" fillId="1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8" fillId="17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2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3" fillId="1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3" fillId="1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35" fillId="1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36" fillId="1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8" fillId="1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7" fillId="1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17" borderId="2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3" fillId="17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3" fillId="17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35" fillId="17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36" fillId="17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8" fillId="17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7" fillId="17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7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6" borderId="2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16" borderId="2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16" borderId="2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16" borderId="2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28" fillId="13" borderId="3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37" fillId="10" borderId="3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38" fillId="11" borderId="3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39" fillId="12" borderId="3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0" fillId="16" borderId="3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0" fillId="16" borderId="3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0" fillId="16" borderId="3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0" fillId="16" borderId="3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1" fillId="12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6" borderId="3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1" fillId="16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0" fontId="11" fillId="16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11" fillId="16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1" fillId="17" borderId="3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1" fillId="17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0" fontId="11" fillId="17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11" fillId="17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4" fillId="19" borderId="3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4" fillId="19" borderId="4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0" fontId="14" fillId="19" borderId="4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14" fillId="19" borderId="4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1" fillId="16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11" fillId="16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8" fillId="16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1" fillId="17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11" fillId="17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8" fillId="17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4" fillId="19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14" fillId="19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2" fontId="14" fillId="19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14" fillId="19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9" fillId="19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6" fillId="17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9" fillId="16" borderId="4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42" fillId="16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6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17" borderId="3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44" fillId="17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7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16" borderId="3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44" fillId="16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0" fillId="17" borderId="4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45" fillId="17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0" fillId="16" borderId="4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45" fillId="16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3" fillId="17" borderId="4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46" fillId="17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2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26" fillId="2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18" fillId="16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1" fillId="16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18" fillId="17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1" fillId="17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14" fillId="19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4" fillId="19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16" fillId="17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16" fillId="16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1" fillId="16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1" fillId="16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1" fillId="17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1" fillId="17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3" fontId="21" fillId="7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21" fillId="7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21" fillId="7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21" fillId="7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1" fillId="7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7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8" fillId="17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9" fillId="17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9" fillId="1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6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8" fillId="16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14" fillId="16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9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7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4" fillId="17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50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16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20" fillId="16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16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5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17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5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5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6" borderId="1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9" fontId="11" fillId="16" borderId="1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8" fontId="11" fillId="16" borderId="1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10" fillId="18" borderId="2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18" borderId="1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9" fontId="11" fillId="18" borderId="1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8" fontId="11" fillId="18" borderId="1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10" fillId="12" borderId="2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12" borderId="1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9" fontId="11" fillId="12" borderId="1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8" fontId="11" fillId="12" borderId="1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73" fontId="21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8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9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8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9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7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1" fillId="7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1" fillId="7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21" fillId="7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17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1" fillId="17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1" fillId="17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21" fillId="17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1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11" fillId="17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60">
    <dxf>
      <fill>
        <patternFill patternType="solid">
          <fgColor rgb="FF1C2B4A"/>
          <bgColor rgb="FF000000"/>
        </patternFill>
      </fill>
    </dxf>
    <dxf>
      <fill>
        <patternFill patternType="solid">
          <fgColor rgb="FFEFF6FF"/>
          <bgColor rgb="FF000000"/>
        </patternFill>
      </fill>
    </dxf>
    <dxf>
      <fill>
        <patternFill patternType="solid">
          <fgColor rgb="FFFEF2F2"/>
          <bgColor rgb="FF000000"/>
        </patternFill>
      </fill>
    </dxf>
    <dxf>
      <fill>
        <patternFill patternType="solid">
          <fgColor rgb="FFFFFBEB"/>
          <bgColor rgb="FF000000"/>
        </patternFill>
      </fill>
    </dxf>
    <dxf>
      <fill>
        <patternFill patternType="solid">
          <fgColor rgb="FF2563EB"/>
          <bgColor rgb="FF000000"/>
        </patternFill>
      </fill>
    </dxf>
    <dxf>
      <fill>
        <patternFill patternType="solid">
          <fgColor rgb="FFD97706"/>
          <bgColor rgb="FF000000"/>
        </patternFill>
      </fill>
    </dxf>
    <dxf>
      <fill>
        <patternFill patternType="solid">
          <fgColor rgb="FFDC26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EDE9FE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 patternType="solid">
          <fgColor rgb="FF374151"/>
          <bgColor rgb="FF000000"/>
        </patternFill>
      </fill>
    </dxf>
    <dxf>
      <fill>
        <patternFill patternType="solid">
          <fgColor rgb="FF7F1D1D"/>
          <bgColor rgb="FF000000"/>
        </patternFill>
      </fill>
    </dxf>
    <dxf>
      <fill>
        <patternFill patternType="solid">
          <fgColor rgb="FF8A302E"/>
          <bgColor rgb="FF000000"/>
        </patternFill>
      </fill>
    </dxf>
    <dxf>
      <fill>
        <patternFill patternType="solid">
          <fgColor rgb="FF8D3533"/>
          <bgColor rgb="FF000000"/>
        </patternFill>
      </fill>
    </dxf>
    <dxf>
      <fill>
        <patternFill patternType="solid">
          <fgColor rgb="FF8E3735"/>
          <bgColor rgb="FF000000"/>
        </patternFill>
      </fill>
    </dxf>
    <dxf>
      <fill>
        <patternFill patternType="solid">
          <fgColor rgb="FF9B4E4A"/>
          <bgColor rgb="FF000000"/>
        </patternFill>
      </fill>
    </dxf>
    <dxf>
      <fill>
        <patternFill patternType="solid">
          <fgColor rgb="FF9D504D"/>
          <bgColor rgb="FF000000"/>
        </patternFill>
      </fill>
    </dxf>
    <dxf>
      <fill>
        <patternFill patternType="solid">
          <fgColor rgb="FFA15753"/>
          <bgColor rgb="FF000000"/>
        </patternFill>
      </fill>
    </dxf>
    <dxf>
      <fill>
        <patternFill patternType="solid">
          <fgColor rgb="FFA35A56"/>
          <bgColor rgb="FF000000"/>
        </patternFill>
      </fill>
    </dxf>
    <dxf>
      <fill>
        <patternFill patternType="solid">
          <fgColor rgb="FFA35C57"/>
          <bgColor rgb="FF000000"/>
        </patternFill>
      </fill>
    </dxf>
    <dxf>
      <fill>
        <patternFill patternType="solid">
          <fgColor rgb="FFA6605B"/>
          <bgColor rgb="FF000000"/>
        </patternFill>
      </fill>
    </dxf>
    <dxf>
      <fill>
        <patternFill patternType="solid">
          <fgColor rgb="FFA7625D"/>
          <bgColor rgb="FF000000"/>
        </patternFill>
      </fill>
    </dxf>
    <dxf>
      <fill>
        <patternFill patternType="solid">
          <fgColor rgb="FFAD6C66"/>
          <bgColor rgb="FF000000"/>
        </patternFill>
      </fill>
    </dxf>
    <dxf>
      <fill>
        <patternFill patternType="solid">
          <fgColor rgb="FFAD6D67"/>
          <bgColor rgb="FF000000"/>
        </patternFill>
      </fill>
    </dxf>
    <dxf>
      <fill>
        <patternFill patternType="solid">
          <fgColor rgb="FFAF706A"/>
          <bgColor rgb="FF000000"/>
        </patternFill>
      </fill>
    </dxf>
    <dxf>
      <fill>
        <patternFill patternType="solid">
          <fgColor rgb="FFB37670"/>
          <bgColor rgb="FF000000"/>
        </patternFill>
      </fill>
    </dxf>
    <dxf>
      <fill>
        <patternFill patternType="solid">
          <fgColor rgb="FFB57B74"/>
          <bgColor rgb="FF000000"/>
        </patternFill>
      </fill>
    </dxf>
    <dxf>
      <fill>
        <patternFill patternType="solid">
          <fgColor rgb="FFB77E77"/>
          <bgColor rgb="FF000000"/>
        </patternFill>
      </fill>
    </dxf>
    <dxf>
      <fill>
        <patternFill patternType="solid">
          <fgColor rgb="FFB87F78"/>
          <bgColor rgb="FF000000"/>
        </patternFill>
      </fill>
    </dxf>
    <dxf>
      <fill>
        <patternFill patternType="solid">
          <fgColor rgb="FFB88079"/>
          <bgColor rgb="FF000000"/>
        </patternFill>
      </fill>
    </dxf>
    <dxf>
      <fill>
        <patternFill patternType="solid">
          <fgColor rgb="FFBC8780"/>
          <bgColor rgb="FF000000"/>
        </patternFill>
      </fill>
    </dxf>
    <dxf>
      <fill>
        <patternFill patternType="solid">
          <fgColor rgb="FFC19088"/>
          <bgColor rgb="FF000000"/>
        </patternFill>
      </fill>
    </dxf>
    <dxf>
      <fill>
        <patternFill patternType="solid">
          <fgColor rgb="FFC29189"/>
          <bgColor rgb="FF000000"/>
        </patternFill>
      </fill>
    </dxf>
    <dxf>
      <fill>
        <patternFill patternType="solid">
          <fgColor rgb="FFC79990"/>
          <bgColor rgb="FF000000"/>
        </patternFill>
      </fill>
    </dxf>
    <dxf>
      <fill>
        <patternFill patternType="solid">
          <fgColor rgb="FFC89C92"/>
          <bgColor rgb="FF000000"/>
        </patternFill>
      </fill>
    </dxf>
    <dxf>
      <fill>
        <patternFill patternType="solid">
          <fgColor rgb="FFC99D94"/>
          <bgColor rgb="FF000000"/>
        </patternFill>
      </fill>
    </dxf>
    <dxf>
      <fill>
        <patternFill patternType="solid">
          <fgColor rgb="FFCBA097"/>
          <bgColor rgb="FF000000"/>
        </patternFill>
      </fill>
    </dxf>
    <dxf>
      <fill>
        <patternFill patternType="solid">
          <fgColor rgb="FFCFA89E"/>
          <bgColor rgb="FF000000"/>
        </patternFill>
      </fill>
    </dxf>
    <dxf>
      <fill>
        <patternFill patternType="solid">
          <fgColor rgb="FFD0A99F"/>
          <bgColor rgb="FF000000"/>
        </patternFill>
      </fill>
    </dxf>
    <dxf>
      <fill>
        <patternFill patternType="solid">
          <fgColor rgb="FFD2ACA2"/>
          <bgColor rgb="FF000000"/>
        </patternFill>
      </fill>
    </dxf>
    <dxf>
      <fill>
        <patternFill patternType="solid">
          <fgColor rgb="FFD3AEA3"/>
          <bgColor rgb="FF000000"/>
        </patternFill>
      </fill>
    </dxf>
    <dxf>
      <fill>
        <patternFill patternType="solid">
          <fgColor rgb="FFD4B0A5"/>
          <bgColor rgb="FF000000"/>
        </patternFill>
      </fill>
    </dxf>
    <dxf>
      <fill>
        <patternFill patternType="solid">
          <fgColor rgb="FFD5B1A6"/>
          <bgColor rgb="FF000000"/>
        </patternFill>
      </fill>
    </dxf>
    <dxf>
      <fill>
        <patternFill patternType="solid">
          <fgColor rgb="FFD5B2A7"/>
          <bgColor rgb="FF000000"/>
        </patternFill>
      </fill>
    </dxf>
    <dxf>
      <fill>
        <patternFill patternType="solid">
          <fgColor rgb="FFDBBCB0"/>
          <bgColor rgb="FF000000"/>
        </patternFill>
      </fill>
    </dxf>
    <dxf>
      <fill>
        <patternFill patternType="solid">
          <fgColor rgb="FFDCBEB3"/>
          <bgColor rgb="FF000000"/>
        </patternFill>
      </fill>
    </dxf>
    <dxf>
      <fill>
        <patternFill patternType="solid">
          <fgColor rgb="FFDEC2B6"/>
          <bgColor rgb="FF000000"/>
        </patternFill>
      </fill>
    </dxf>
    <dxf>
      <fill>
        <patternFill patternType="solid">
          <fgColor rgb="FFDFC3B7"/>
          <bgColor rgb="FF000000"/>
        </patternFill>
      </fill>
    </dxf>
    <dxf>
      <fill>
        <patternFill patternType="solid">
          <fgColor rgb="FFDFC4B8"/>
          <bgColor rgb="FF000000"/>
        </patternFill>
      </fill>
    </dxf>
    <dxf>
      <fill>
        <patternFill patternType="solid">
          <fgColor rgb="FFE2C8BC"/>
          <bgColor rgb="FF000000"/>
        </patternFill>
      </fill>
    </dxf>
    <dxf>
      <fill>
        <patternFill patternType="solid">
          <fgColor rgb="FFE2C9BC"/>
          <bgColor rgb="FF000000"/>
        </patternFill>
      </fill>
    </dxf>
    <dxf>
      <fill>
        <patternFill patternType="solid">
          <fgColor rgb="FFE3C9BD"/>
          <bgColor rgb="FF000000"/>
        </patternFill>
      </fill>
    </dxf>
    <dxf>
      <fill>
        <patternFill patternType="solid">
          <fgColor rgb="FFE4CCC0"/>
          <bgColor rgb="FF000000"/>
        </patternFill>
      </fill>
    </dxf>
    <dxf>
      <fill>
        <patternFill patternType="solid">
          <fgColor rgb="FFE6D0C3"/>
          <bgColor rgb="FF000000"/>
        </patternFill>
      </fill>
    </dxf>
    <dxf>
      <fill>
        <patternFill patternType="solid">
          <fgColor rgb="FFE7D1C4"/>
          <bgColor rgb="FF000000"/>
        </patternFill>
      </fill>
    </dxf>
    <dxf>
      <fill>
        <patternFill patternType="solid">
          <fgColor rgb="FFE7D2C5"/>
          <bgColor rgb="FF000000"/>
        </patternFill>
      </fill>
    </dxf>
    <dxf>
      <fill>
        <patternFill patternType="solid">
          <fgColor rgb="FFE9D4C7"/>
          <bgColor rgb="FF000000"/>
        </patternFill>
      </fill>
    </dxf>
    <dxf>
      <fill>
        <patternFill patternType="solid">
          <fgColor rgb="FFEAD6C8"/>
          <bgColor rgb="FF000000"/>
        </patternFill>
      </fill>
    </dxf>
    <dxf>
      <fill>
        <patternFill patternType="solid">
          <fgColor rgb="FFECD9CB"/>
          <bgColor rgb="FF000000"/>
        </patternFill>
      </fill>
    </dxf>
    <dxf>
      <fill>
        <patternFill patternType="solid">
          <fgColor rgb="FFECDACC"/>
          <bgColor rgb="FF000000"/>
        </patternFill>
      </fill>
    </dxf>
    <dxf>
      <fill>
        <patternFill patternType="solid">
          <fgColor rgb="FFECDACD"/>
          <bgColor rgb="FF000000"/>
        </patternFill>
      </fill>
    </dxf>
    <dxf>
      <fill>
        <patternFill patternType="solid">
          <fgColor rgb="FFEEDDD0"/>
          <bgColor rgb="FF000000"/>
        </patternFill>
      </fill>
    </dxf>
    <dxf>
      <fill>
        <patternFill patternType="solid">
          <fgColor rgb="FFF0FDF4"/>
          <bgColor rgb="FF000000"/>
        </patternFill>
      </fill>
    </dxf>
    <dxf>
      <fill>
        <patternFill patternType="solid">
          <fgColor rgb="FFF1E2D4"/>
          <bgColor rgb="FF000000"/>
        </patternFill>
      </fill>
    </dxf>
    <dxf>
      <fill>
        <patternFill patternType="solid">
          <fgColor rgb="FFF1FDF4"/>
          <bgColor rgb="FF000000"/>
        </patternFill>
      </fill>
    </dxf>
    <dxf>
      <fill>
        <patternFill patternType="solid">
          <fgColor rgb="FFF2FDF3"/>
          <bgColor rgb="FF000000"/>
        </patternFill>
      </fill>
    </dxf>
    <dxf>
      <fill>
        <patternFill patternType="solid">
          <fgColor rgb="FFF3E7D8"/>
          <bgColor rgb="FF000000"/>
        </patternFill>
      </fill>
    </dxf>
    <dxf>
      <fill>
        <patternFill patternType="solid">
          <fgColor rgb="FFF3FDF2"/>
          <bgColor rgb="FF000000"/>
        </patternFill>
      </fill>
    </dxf>
    <dxf>
      <fill>
        <patternFill patternType="solid">
          <fgColor rgb="FFF3FDF3"/>
          <bgColor rgb="FF000000"/>
        </patternFill>
      </fill>
    </dxf>
    <dxf>
      <fill>
        <patternFill patternType="solid">
          <fgColor rgb="FFF4FDF2"/>
          <bgColor rgb="FF000000"/>
        </patternFill>
      </fill>
    </dxf>
    <dxf>
      <fill>
        <patternFill patternType="solid">
          <fgColor rgb="FFF5FDF1"/>
          <bgColor rgb="FF000000"/>
        </patternFill>
      </fill>
    </dxf>
    <dxf>
      <fill>
        <patternFill patternType="solid">
          <fgColor rgb="FFF6FDF1"/>
          <bgColor rgb="FF000000"/>
        </patternFill>
      </fill>
    </dxf>
    <dxf>
      <fill>
        <patternFill patternType="solid">
          <fgColor rgb="FFF7ECDE"/>
          <bgColor rgb="FF000000"/>
        </patternFill>
      </fill>
    </dxf>
    <dxf>
      <fill>
        <patternFill patternType="solid">
          <fgColor rgb="FFF7EDDE"/>
          <bgColor rgb="FF000000"/>
        </patternFill>
      </fill>
    </dxf>
    <dxf>
      <fill>
        <patternFill patternType="solid">
          <fgColor rgb="FFF7FDF0"/>
          <bgColor rgb="FF000000"/>
        </patternFill>
      </fill>
    </dxf>
    <dxf>
      <fill>
        <patternFill patternType="solid">
          <fgColor rgb="FFF8FCEF"/>
          <bgColor rgb="FF000000"/>
        </patternFill>
      </fill>
    </dxf>
    <dxf>
      <fill>
        <patternFill patternType="solid">
          <fgColor rgb="FFF8FCF0"/>
          <bgColor rgb="FF000000"/>
        </patternFill>
      </fill>
    </dxf>
    <dxf>
      <fill>
        <patternFill patternType="solid">
          <fgColor rgb="FFF9F1E2"/>
          <bgColor rgb="FF000000"/>
        </patternFill>
      </fill>
    </dxf>
    <dxf>
      <fill>
        <patternFill patternType="solid">
          <fgColor rgb="FFF9FCEF"/>
          <bgColor rgb="FF000000"/>
        </patternFill>
      </fill>
    </dxf>
    <dxf>
      <fill>
        <patternFill patternType="solid">
          <fgColor rgb="FFFAF2E3"/>
          <bgColor rgb="FF000000"/>
        </patternFill>
      </fill>
    </dxf>
    <dxf>
      <fill>
        <patternFill patternType="solid">
          <fgColor rgb="FFFAFCEE"/>
          <bgColor rgb="FF000000"/>
        </patternFill>
      </fill>
    </dxf>
    <dxf>
      <fill>
        <patternFill patternType="solid">
          <fgColor rgb="FFFCF6E6"/>
          <bgColor rgb="FF000000"/>
        </patternFill>
      </fill>
    </dxf>
    <dxf>
      <fill>
        <patternFill patternType="solid">
          <fgColor rgb="FFFCFCED"/>
          <bgColor rgb="FF000000"/>
        </patternFill>
      </fill>
    </dxf>
    <dxf>
      <fill>
        <patternFill patternType="solid">
          <fgColor rgb="FFFDFCEC"/>
          <bgColor rgb="FF000000"/>
        </patternFill>
      </fill>
    </dxf>
    <dxf>
      <fill>
        <patternFill patternType="solid">
          <fgColor rgb="FFFDFCED"/>
          <bgColor rgb="FF000000"/>
        </patternFill>
      </fill>
    </dxf>
    <dxf>
      <fill>
        <patternFill patternType="solid">
          <fgColor rgb="FFFEFCEC"/>
          <bgColor rgb="FF000000"/>
        </patternFill>
      </fill>
    </dxf>
    <dxf>
      <fill>
        <patternFill patternType="solid">
          <fgColor rgb="FFFFFAEA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0D9488"/>
          <bgColor rgb="FF000000"/>
        </patternFill>
      </fill>
    </dxf>
    <dxf>
      <fill>
        <patternFill patternType="solid">
          <fgColor rgb="FF7C3AED"/>
          <bgColor rgb="FF000000"/>
        </patternFill>
      </fill>
    </dxf>
    <dxf>
      <fill>
        <patternFill patternType="solid">
          <fgColor rgb="FF16A34A"/>
          <bgColor rgb="FF000000"/>
        </patternFill>
      </fill>
    </dxf>
    <dxf>
      <font>
        <name val="Calibri"/>
        <charset val="1"/>
        <family val="0"/>
        <b val="1"/>
        <color rgb="FFD97706"/>
        <sz val="9"/>
      </font>
      <fill>
        <patternFill>
          <bgColor rgb="FFFEF3C7"/>
        </patternFill>
      </fill>
    </dxf>
    <dxf>
      <font>
        <name val="Calibri"/>
        <charset val="1"/>
        <family val="0"/>
        <b val="1"/>
        <color rgb="FF2563EB"/>
        <sz val="9"/>
      </font>
      <fill>
        <patternFill>
          <bgColor rgb="FFDBEAFE"/>
        </patternFill>
      </fill>
    </dxf>
    <dxf>
      <font>
        <name val="Calibri"/>
        <charset val="1"/>
        <family val="0"/>
        <b val="1"/>
        <color rgb="FF7C3AED"/>
        <sz val="9"/>
      </font>
      <fill>
        <patternFill>
          <bgColor rgb="FFEDE9FE"/>
        </patternFill>
      </fill>
    </dxf>
    <dxf>
      <font>
        <name val="Calibri"/>
        <charset val="1"/>
        <family val="0"/>
        <b val="1"/>
        <color rgb="FF0D9488"/>
        <sz val="9"/>
      </font>
      <fill>
        <patternFill>
          <bgColor rgb="FFDCFCE7"/>
        </patternFill>
      </fill>
    </dxf>
    <dxf>
      <font>
        <name val="Calibri"/>
        <charset val="1"/>
        <family val="0"/>
        <b val="1"/>
        <color rgb="FF334155"/>
        <sz val="9"/>
      </font>
      <fill>
        <patternFill>
          <bgColor rgb="FFF0FDF4"/>
        </patternFill>
      </fill>
    </dxf>
    <dxf>
      <font>
        <name val="Calibri"/>
        <charset val="1"/>
        <family val="0"/>
        <b val="1"/>
        <color rgb="FF16A34A"/>
        <sz val="9"/>
      </font>
      <fill>
        <patternFill>
          <bgColor rgb="FFF0FDF4"/>
        </patternFill>
      </fill>
    </dxf>
    <dxf>
      <font>
        <name val="Calibri"/>
        <charset val="1"/>
        <family val="0"/>
        <b val="1"/>
        <color rgb="FFD97706"/>
        <sz val="9"/>
      </font>
      <fill>
        <patternFill>
          <bgColor rgb="FFFFFBEB"/>
        </patternFill>
      </fill>
    </dxf>
    <dxf>
      <font>
        <name val="Calibri"/>
        <charset val="1"/>
        <family val="0"/>
        <b val="1"/>
        <color rgb="FFDC2626"/>
        <sz val="9"/>
      </font>
      <fill>
        <patternFill>
          <bgColor rgb="FFFEE2E2"/>
        </patternFill>
      </fill>
    </dxf>
    <dxf>
      <fill>
        <patternFill patternType="solid">
          <fgColor rgb="FF862B2A"/>
          <bgColor rgb="FF000000"/>
        </patternFill>
      </fill>
    </dxf>
    <dxf>
      <fill>
        <patternFill patternType="solid">
          <fgColor rgb="FF872D2D"/>
          <bgColor rgb="FF000000"/>
        </patternFill>
      </fill>
    </dxf>
    <dxf>
      <fill>
        <patternFill patternType="solid">
          <fgColor rgb="FF8A3231"/>
          <bgColor rgb="FF000000"/>
        </patternFill>
      </fill>
    </dxf>
    <dxf>
      <fill>
        <patternFill patternType="solid">
          <fgColor rgb="FF8B3332"/>
          <bgColor rgb="FF000000"/>
        </patternFill>
      </fill>
    </dxf>
    <dxf>
      <fill>
        <patternFill patternType="solid">
          <fgColor rgb="FF8E3B39"/>
          <bgColor rgb="FF000000"/>
        </patternFill>
      </fill>
    </dxf>
    <dxf>
      <fill>
        <patternFill patternType="solid">
          <fgColor rgb="FF944745"/>
          <bgColor rgb="FF000000"/>
        </patternFill>
      </fill>
    </dxf>
    <dxf>
      <fill>
        <patternFill patternType="solid">
          <fgColor rgb="FF964947"/>
          <bgColor rgb="FF000000"/>
        </patternFill>
      </fill>
    </dxf>
    <dxf>
      <fill>
        <patternFill patternType="solid">
          <fgColor rgb="FF984F4D"/>
          <bgColor rgb="FF000000"/>
        </patternFill>
      </fill>
    </dxf>
    <dxf>
      <fill>
        <patternFill patternType="solid">
          <fgColor rgb="FF9A524F"/>
          <bgColor rgb="FF000000"/>
        </patternFill>
      </fill>
    </dxf>
    <dxf>
      <fill>
        <patternFill patternType="solid">
          <fgColor rgb="FF9A5351"/>
          <bgColor rgb="FF000000"/>
        </patternFill>
      </fill>
    </dxf>
    <dxf>
      <fill>
        <patternFill patternType="solid">
          <fgColor rgb="FF9C5754"/>
          <bgColor rgb="FF000000"/>
        </patternFill>
      </fill>
    </dxf>
    <dxf>
      <fill>
        <patternFill patternType="solid">
          <fgColor rgb="FF9D5856"/>
          <bgColor rgb="FF000000"/>
        </patternFill>
      </fill>
    </dxf>
    <dxf>
      <fill>
        <patternFill patternType="solid">
          <fgColor rgb="FF9E5A58"/>
          <bgColor rgb="FF000000"/>
        </patternFill>
      </fill>
    </dxf>
    <dxf>
      <fill>
        <patternFill patternType="solid">
          <fgColor rgb="FFA1615E"/>
          <bgColor rgb="FF000000"/>
        </patternFill>
      </fill>
    </dxf>
    <dxf>
      <fill>
        <patternFill patternType="solid">
          <fgColor rgb="FFA2615F"/>
          <bgColor rgb="FF000000"/>
        </patternFill>
      </fill>
    </dxf>
    <dxf>
      <fill>
        <patternFill patternType="solid">
          <fgColor rgb="FFA36461"/>
          <bgColor rgb="FF000000"/>
        </patternFill>
      </fill>
    </dxf>
    <dxf>
      <fill>
        <patternFill patternType="solid">
          <fgColor rgb="FFA66A67"/>
          <bgColor rgb="FF000000"/>
        </patternFill>
      </fill>
    </dxf>
    <dxf>
      <fill>
        <patternFill patternType="solid">
          <fgColor rgb="FFA86E6A"/>
          <bgColor rgb="FF000000"/>
        </patternFill>
      </fill>
    </dxf>
    <dxf>
      <fill>
        <patternFill patternType="solid">
          <fgColor rgb="FFA9706D"/>
          <bgColor rgb="FF000000"/>
        </patternFill>
      </fill>
    </dxf>
    <dxf>
      <fill>
        <patternFill patternType="solid">
          <fgColor rgb="FFAA716E"/>
          <bgColor rgb="FF000000"/>
        </patternFill>
      </fill>
    </dxf>
    <dxf>
      <fill>
        <patternFill patternType="solid">
          <fgColor rgb="FFAA726F"/>
          <bgColor rgb="FF000000"/>
        </patternFill>
      </fill>
    </dxf>
    <dxf>
      <fill>
        <patternFill patternType="solid">
          <fgColor rgb="FFAD7875"/>
          <bgColor rgb="FF000000"/>
        </patternFill>
      </fill>
    </dxf>
    <dxf>
      <fill>
        <patternFill patternType="solid">
          <fgColor rgb="FFB17F7C"/>
          <bgColor rgb="FF000000"/>
        </patternFill>
      </fill>
    </dxf>
    <dxf>
      <fill>
        <patternFill patternType="solid">
          <fgColor rgb="FFB2817D"/>
          <bgColor rgb="FF000000"/>
        </patternFill>
      </fill>
    </dxf>
    <dxf>
      <fill>
        <patternFill patternType="solid">
          <fgColor rgb="FFB58783"/>
          <bgColor rgb="FF000000"/>
        </patternFill>
      </fill>
    </dxf>
    <dxf>
      <fill>
        <patternFill patternType="solid">
          <fgColor rgb="FFB68A85"/>
          <bgColor rgb="FF000000"/>
        </patternFill>
      </fill>
    </dxf>
    <dxf>
      <fill>
        <patternFill patternType="solid">
          <fgColor rgb="FFB78B87"/>
          <bgColor rgb="FF000000"/>
        </patternFill>
      </fill>
    </dxf>
    <dxf>
      <fill>
        <patternFill patternType="solid">
          <fgColor rgb="FFB88D89"/>
          <bgColor rgb="FF000000"/>
        </patternFill>
      </fill>
    </dxf>
    <dxf>
      <fill>
        <patternFill patternType="solid">
          <fgColor rgb="FFBB948F"/>
          <bgColor rgb="FF000000"/>
        </patternFill>
      </fill>
    </dxf>
    <dxf>
      <fill>
        <patternFill patternType="solid">
          <fgColor rgb="FFBC9590"/>
          <bgColor rgb="FF000000"/>
        </patternFill>
      </fill>
    </dxf>
    <dxf>
      <fill>
        <patternFill patternType="solid">
          <fgColor rgb="FFBD9893"/>
          <bgColor rgb="FF000000"/>
        </patternFill>
      </fill>
    </dxf>
    <dxf>
      <fill>
        <patternFill patternType="solid">
          <fgColor rgb="FFBE9994"/>
          <bgColor rgb="FF000000"/>
        </patternFill>
      </fill>
    </dxf>
    <dxf>
      <fill>
        <patternFill patternType="solid">
          <fgColor rgb="FFBF9B96"/>
          <bgColor rgb="FF000000"/>
        </patternFill>
      </fill>
    </dxf>
    <dxf>
      <fill>
        <patternFill patternType="solid">
          <fgColor rgb="FFBF9C97"/>
          <bgColor rgb="FF000000"/>
        </patternFill>
      </fill>
    </dxf>
    <dxf>
      <fill>
        <patternFill patternType="solid">
          <fgColor rgb="FFC09D98"/>
          <bgColor rgb="FF000000"/>
        </patternFill>
      </fill>
    </dxf>
    <dxf>
      <fill>
        <patternFill patternType="solid">
          <fgColor rgb="FFC3A39D"/>
          <bgColor rgb="FF000000"/>
        </patternFill>
      </fill>
    </dxf>
    <dxf>
      <fill>
        <patternFill patternType="solid">
          <fgColor rgb="FFC4A5A0"/>
          <bgColor rgb="FF000000"/>
        </patternFill>
      </fill>
    </dxf>
    <dxf>
      <fill>
        <patternFill patternType="solid">
          <fgColor rgb="FFC5A7A2"/>
          <bgColor rgb="FF000000"/>
        </patternFill>
      </fill>
    </dxf>
    <dxf>
      <fill>
        <patternFill patternType="solid">
          <fgColor rgb="FFC7ABA5"/>
          <bgColor rgb="FF000000"/>
        </patternFill>
      </fill>
    </dxf>
    <dxf>
      <fill>
        <patternFill patternType="solid">
          <fgColor rgb="FFC8ACA7"/>
          <bgColor rgb="FF000000"/>
        </patternFill>
      </fill>
    </dxf>
    <dxf>
      <fill>
        <patternFill patternType="solid">
          <fgColor rgb="FFC9B0AA"/>
          <bgColor rgb="FF000000"/>
        </patternFill>
      </fill>
    </dxf>
    <dxf>
      <fill>
        <patternFill patternType="solid">
          <fgColor rgb="FFCAB0AA"/>
          <bgColor rgb="FF000000"/>
        </patternFill>
      </fill>
    </dxf>
    <dxf>
      <fill>
        <patternFill patternType="solid">
          <fgColor rgb="FFCAB1AB"/>
          <bgColor rgb="FF000000"/>
        </patternFill>
      </fill>
    </dxf>
    <dxf>
      <fill>
        <patternFill patternType="solid">
          <fgColor rgb="FFCBB4AE"/>
          <bgColor rgb="FF000000"/>
        </patternFill>
      </fill>
    </dxf>
    <dxf>
      <fill>
        <patternFill patternType="solid">
          <fgColor rgb="FFCDB6B0"/>
          <bgColor rgb="FF000000"/>
        </patternFill>
      </fill>
    </dxf>
    <dxf>
      <fill>
        <patternFill patternType="solid">
          <fgColor rgb="FFCDB7B1"/>
          <bgColor rgb="FF000000"/>
        </patternFill>
      </fill>
    </dxf>
    <dxf>
      <fill>
        <patternFill patternType="solid">
          <fgColor rgb="FFCDB8B2"/>
          <bgColor rgb="FF000000"/>
        </patternFill>
      </fill>
    </dxf>
    <dxf>
      <fill>
        <patternFill patternType="solid">
          <fgColor rgb="FFCFBAB4"/>
          <bgColor rgb="FF000000"/>
        </patternFill>
      </fill>
    </dxf>
    <dxf>
      <fill>
        <patternFill patternType="solid">
          <fgColor rgb="FFCFBBB5"/>
          <bgColor rgb="FF000000"/>
        </patternFill>
      </fill>
    </dxf>
    <dxf>
      <fill>
        <patternFill patternType="solid">
          <fgColor rgb="FFD1BEB8"/>
          <bgColor rgb="FF000000"/>
        </patternFill>
      </fill>
    </dxf>
    <dxf>
      <fill>
        <patternFill patternType="solid">
          <fgColor rgb="FFD1BFB8"/>
          <bgColor rgb="FF000000"/>
        </patternFill>
      </fill>
    </dxf>
    <dxf>
      <fill>
        <patternFill patternType="solid">
          <fgColor rgb="FFD1BFB9"/>
          <bgColor rgb="FF000000"/>
        </patternFill>
      </fill>
    </dxf>
    <dxf>
      <fill>
        <patternFill patternType="solid">
          <fgColor rgb="FFD2C2BB"/>
          <bgColor rgb="FF000000"/>
        </patternFill>
      </fill>
    </dxf>
    <dxf>
      <fill>
        <patternFill patternType="solid">
          <fgColor rgb="FFD3C2BC"/>
          <bgColor rgb="FF000000"/>
        </patternFill>
      </fill>
    </dxf>
    <dxf>
      <fill>
        <patternFill patternType="solid">
          <fgColor rgb="FFD3C3BD"/>
          <bgColor rgb="FF000000"/>
        </patternFill>
      </fill>
    </dxf>
    <dxf>
      <fill>
        <patternFill patternType="solid">
          <fgColor rgb="FFD5C6BF"/>
          <bgColor rgb="FF000000"/>
        </patternFill>
      </fill>
    </dxf>
    <dxf>
      <fill>
        <patternFill patternType="solid">
          <fgColor rgb="FFD7CAC3"/>
          <bgColor rgb="FF000000"/>
        </patternFill>
      </fill>
    </dxf>
    <dxf>
      <fill>
        <patternFill patternType="solid">
          <fgColor rgb="FFD9CFC8"/>
          <bgColor rgb="FF000000"/>
        </patternFill>
      </fill>
    </dxf>
    <dxf>
      <fill>
        <patternFill patternType="solid">
          <fgColor rgb="FFD9D0C8"/>
          <bgColor rgb="FF000000"/>
        </patternFill>
      </fill>
    </dxf>
    <dxf>
      <fill>
        <patternFill patternType="solid">
          <fgColor rgb="FFDBD3CC"/>
          <bgColor rgb="FF000000"/>
        </patternFill>
      </fill>
    </dxf>
    <dxf>
      <fill>
        <patternFill patternType="solid">
          <fgColor rgb="FFDCD4CD"/>
          <bgColor rgb="FF000000"/>
        </patternFill>
      </fill>
    </dxf>
    <dxf>
      <fill>
        <patternFill patternType="solid">
          <fgColor rgb="FFDDD7CF"/>
          <bgColor rgb="FF000000"/>
        </patternFill>
      </fill>
    </dxf>
    <dxf>
      <fill>
        <patternFill patternType="solid">
          <fgColor rgb="FFDFDAD3"/>
          <bgColor rgb="FF000000"/>
        </patternFill>
      </fill>
    </dxf>
    <dxf>
      <fill>
        <patternFill patternType="solid">
          <fgColor rgb="FFDFDBD3"/>
          <bgColor rgb="FF000000"/>
        </patternFill>
      </fill>
    </dxf>
    <dxf>
      <fill>
        <patternFill patternType="solid">
          <fgColor rgb="FFDFDBD4"/>
          <bgColor rgb="FF000000"/>
        </patternFill>
      </fill>
    </dxf>
    <dxf>
      <fill>
        <patternFill patternType="solid">
          <fgColor rgb="FFE0DCD4"/>
          <bgColor rgb="FF000000"/>
        </patternFill>
      </fill>
    </dxf>
    <dxf>
      <fill>
        <patternFill patternType="solid">
          <fgColor rgb="FFE0DED6"/>
          <bgColor rgb="FF000000"/>
        </patternFill>
      </fill>
    </dxf>
    <dxf>
      <fill>
        <patternFill patternType="solid">
          <fgColor rgb="FFE1DFD7"/>
          <bgColor rgb="FF000000"/>
        </patternFill>
      </fill>
    </dxf>
    <dxf>
      <fill>
        <patternFill patternType="solid">
          <fgColor rgb="FFE2E0D8"/>
          <bgColor rgb="FF000000"/>
        </patternFill>
      </fill>
    </dxf>
    <dxf>
      <fill>
        <patternFill patternType="solid">
          <fgColor rgb="FFE2E1DA"/>
          <bgColor rgb="FF000000"/>
        </patternFill>
      </fill>
    </dxf>
    <dxf>
      <fill>
        <patternFill patternType="solid">
          <fgColor rgb="FFE3E2DA"/>
          <bgColor rgb="FF000000"/>
        </patternFill>
      </fill>
    </dxf>
    <dxf>
      <fill>
        <patternFill patternType="solid">
          <fgColor rgb="FFE3E3DB"/>
          <bgColor rgb="FF000000"/>
        </patternFill>
      </fill>
    </dxf>
    <dxf>
      <fill>
        <patternFill patternType="solid">
          <fgColor rgb="FFE4E5DD"/>
          <bgColor rgb="FF000000"/>
        </patternFill>
      </fill>
    </dxf>
    <dxf>
      <fill>
        <patternFill patternType="solid">
          <fgColor rgb="FFE5E6DE"/>
          <bgColor rgb="FF000000"/>
        </patternFill>
      </fill>
    </dxf>
    <dxf>
      <fill>
        <patternFill patternType="solid">
          <fgColor rgb="FFE5E7DE"/>
          <bgColor rgb="FF000000"/>
        </patternFill>
      </fill>
    </dxf>
    <dxf>
      <fill>
        <patternFill patternType="solid">
          <fgColor rgb="FFE5E7DF"/>
          <bgColor rgb="FF000000"/>
        </patternFill>
      </fill>
    </dxf>
    <dxf>
      <fill>
        <patternFill patternType="solid">
          <fgColor rgb="FFE5E8E0"/>
          <bgColor rgb="FF000000"/>
        </patternFill>
      </fill>
    </dxf>
    <dxf>
      <fill>
        <patternFill patternType="solid">
          <fgColor rgb="FFE6E9E1"/>
          <bgColor rgb="FF000000"/>
        </patternFill>
      </fill>
    </dxf>
    <dxf>
      <fill>
        <patternFill patternType="solid">
          <fgColor rgb="FFE7EAE2"/>
          <bgColor rgb="FF000000"/>
        </patternFill>
      </fill>
    </dxf>
    <dxf>
      <fill>
        <patternFill patternType="solid">
          <fgColor rgb="FFE7EBE3"/>
          <bgColor rgb="FF000000"/>
        </patternFill>
      </fill>
    </dxf>
    <dxf>
      <fill>
        <patternFill patternType="solid">
          <fgColor rgb="FFE8EDE5"/>
          <bgColor rgb="FF000000"/>
        </patternFill>
      </fill>
    </dxf>
    <dxf>
      <fill>
        <patternFill patternType="solid">
          <fgColor rgb="FFE9EEE5"/>
          <bgColor rgb="FF000000"/>
        </patternFill>
      </fill>
    </dxf>
    <dxf>
      <fill>
        <patternFill patternType="solid">
          <fgColor rgb="FFE9EFE7"/>
          <bgColor rgb="FF000000"/>
        </patternFill>
      </fill>
    </dxf>
    <dxf>
      <fill>
        <patternFill patternType="solid">
          <fgColor rgb="FFEAF1E9"/>
          <bgColor rgb="FF000000"/>
        </patternFill>
      </fill>
    </dxf>
    <dxf>
      <fill>
        <patternFill patternType="solid">
          <fgColor rgb="FFEBF2E9"/>
          <bgColor rgb="FF000000"/>
        </patternFill>
      </fill>
    </dxf>
    <dxf>
      <fill>
        <patternFill patternType="solid">
          <fgColor rgb="FFEBF2EA"/>
          <bgColor rgb="FF000000"/>
        </patternFill>
      </fill>
    </dxf>
    <dxf>
      <fill>
        <patternFill patternType="solid">
          <fgColor rgb="FFEBF3EA"/>
          <bgColor rgb="FF000000"/>
        </patternFill>
      </fill>
    </dxf>
    <dxf>
      <fill>
        <patternFill patternType="solid">
          <fgColor rgb="FFEBF3EB"/>
          <bgColor rgb="FF000000"/>
        </patternFill>
      </fill>
    </dxf>
    <dxf>
      <fill>
        <patternFill patternType="solid">
          <fgColor rgb="FFEDF6ED"/>
          <bgColor rgb="FF000000"/>
        </patternFill>
      </fill>
    </dxf>
    <dxf>
      <fill>
        <patternFill patternType="solid">
          <fgColor rgb="FFEDF6EE"/>
          <bgColor rgb="FF000000"/>
        </patternFill>
      </fill>
    </dxf>
    <dxf>
      <fill>
        <patternFill patternType="solid">
          <fgColor rgb="FFEDF7EE"/>
          <bgColor rgb="FF000000"/>
        </patternFill>
      </fill>
    </dxf>
    <dxf>
      <fill>
        <patternFill patternType="solid">
          <fgColor rgb="FFEDF7EF"/>
          <bgColor rgb="FF000000"/>
        </patternFill>
      </fill>
    </dxf>
    <dxf>
      <fill>
        <patternFill patternType="solid">
          <fgColor rgb="FFEEF9F0"/>
          <bgColor rgb="FF000000"/>
        </patternFill>
      </fill>
    </dxf>
    <dxf>
      <fill>
        <patternFill patternType="solid">
          <fgColor rgb="FFEFFAF1"/>
          <bgColor rgb="FF000000"/>
        </patternFill>
      </fill>
    </dxf>
    <dxf>
      <fill>
        <patternFill patternType="solid">
          <fgColor rgb="FFEFFBF2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22C55E"/>
          <bgColor rgb="FF000000"/>
        </patternFill>
      </fill>
    </dxf>
    <dxf>
      <fill>
        <patternFill patternType="solid">
          <fgColor rgb="FF7CC83F"/>
          <bgColor rgb="FF000000"/>
        </patternFill>
      </fill>
    </dxf>
    <dxf>
      <fill>
        <patternFill patternType="solid">
          <fgColor rgb="FF85C93C"/>
          <bgColor rgb="FF000000"/>
        </patternFill>
      </fill>
    </dxf>
    <dxf>
      <fill>
        <patternFill patternType="solid">
          <fgColor rgb="FF86C93C"/>
          <bgColor rgb="FF000000"/>
        </patternFill>
      </fill>
    </dxf>
    <dxf>
      <fill>
        <patternFill patternType="solid">
          <fgColor rgb="FF98C936"/>
          <bgColor rgb="FF000000"/>
        </patternFill>
      </fill>
    </dxf>
    <dxf>
      <fill>
        <patternFill patternType="solid">
          <fgColor rgb="FFB8CA2B"/>
          <bgColor rgb="FF000000"/>
        </patternFill>
      </fill>
    </dxf>
    <dxf>
      <fill>
        <patternFill patternType="solid">
          <fgColor rgb="FFC3CB27"/>
          <bgColor rgb="FF000000"/>
        </patternFill>
      </fill>
    </dxf>
    <dxf>
      <fill>
        <patternFill patternType="solid">
          <fgColor rgb="FFC9CB25"/>
          <bgColor rgb="FF000000"/>
        </patternFill>
      </fill>
    </dxf>
    <dxf>
      <fill>
        <patternFill patternType="solid">
          <fgColor rgb="FFCBCB25"/>
          <bgColor rgb="FF000000"/>
        </patternFill>
      </fill>
    </dxf>
    <dxf>
      <fill>
        <patternFill patternType="solid">
          <fgColor rgb="FFD5CB21"/>
          <bgColor rgb="FF000000"/>
        </patternFill>
      </fill>
    </dxf>
    <dxf>
      <fill>
        <patternFill patternType="solid">
          <fgColor rgb="FFD9CB20"/>
          <bgColor rgb="FF000000"/>
        </patternFill>
      </fill>
    </dxf>
    <dxf>
      <fill>
        <patternFill patternType="solid">
          <fgColor rgb="FFDACB20"/>
          <bgColor rgb="FF000000"/>
        </patternFill>
      </fill>
    </dxf>
    <dxf>
      <fill>
        <patternFill patternType="solid">
          <fgColor rgb="FFDCCC1F"/>
          <bgColor rgb="FF000000"/>
        </patternFill>
      </fill>
    </dxf>
    <dxf>
      <fill>
        <patternFill patternType="solid">
          <fgColor rgb="FFDECC1E"/>
          <bgColor rgb="FF000000"/>
        </patternFill>
      </fill>
    </dxf>
    <dxf>
      <fill>
        <patternFill patternType="solid">
          <fgColor rgb="FFE4CC1C"/>
          <bgColor rgb="FF000000"/>
        </patternFill>
      </fill>
    </dxf>
    <dxf>
      <fill>
        <patternFill patternType="solid">
          <fgColor rgb="FFE5CC1C"/>
          <bgColor rgb="FF000000"/>
        </patternFill>
      </fill>
    </dxf>
    <dxf>
      <fill>
        <patternFill patternType="solid">
          <fgColor rgb="FFE7CC1B"/>
          <bgColor rgb="FF000000"/>
        </patternFill>
      </fill>
    </dxf>
    <dxf>
      <fill>
        <patternFill patternType="solid">
          <fgColor rgb="FFE9CC1A"/>
          <bgColor rgb="FF000000"/>
        </patternFill>
      </fill>
    </dxf>
    <dxf>
      <fill>
        <patternFill patternType="solid">
          <fgColor rgb="FFE9CC1B"/>
          <bgColor rgb="FF000000"/>
        </patternFill>
      </fill>
    </dxf>
    <dxf>
      <fill>
        <patternFill patternType="solid">
          <fgColor rgb="FFEACC1A"/>
          <bgColor rgb="FF000000"/>
        </patternFill>
      </fill>
    </dxf>
    <dxf>
      <fill>
        <patternFill patternType="solid">
          <fgColor rgb="FFEBCC1A"/>
          <bgColor rgb="FF000000"/>
        </patternFill>
      </fill>
    </dxf>
    <dxf>
      <fill>
        <patternFill patternType="solid">
          <fgColor rgb="FFEDCC19"/>
          <bgColor rgb="FF000000"/>
        </patternFill>
      </fill>
    </dxf>
    <dxf>
      <fill>
        <patternFill patternType="solid">
          <fgColor rgb="FFEF4444"/>
          <bgColor rgb="FF000000"/>
        </patternFill>
      </fill>
    </dxf>
    <dxf>
      <fill>
        <patternFill patternType="solid">
          <fgColor rgb="FFF05040"/>
          <bgColor rgb="FF000000"/>
        </patternFill>
      </fill>
    </dxf>
    <dxf>
      <fill>
        <patternFill patternType="solid">
          <fgColor rgb="FFF0CC18"/>
          <bgColor rgb="FF000000"/>
        </patternFill>
      </fill>
    </dxf>
    <dxf>
      <fill>
        <patternFill patternType="solid">
          <fgColor rgb="FFF1CC18"/>
          <bgColor rgb="FF000000"/>
        </patternFill>
      </fill>
    </dxf>
    <dxf>
      <fill>
        <patternFill patternType="solid">
          <fgColor rgb="FFF27334"/>
          <bgColor rgb="FF000000"/>
        </patternFill>
      </fill>
    </dxf>
    <dxf>
      <fill>
        <patternFill patternType="solid">
          <fgColor rgb="FFF2CC17"/>
          <bgColor rgb="FF000000"/>
        </patternFill>
      </fill>
    </dxf>
    <dxf>
      <fill>
        <patternFill patternType="solid">
          <fgColor rgb="FFF4852E"/>
          <bgColor rgb="FF000000"/>
        </patternFill>
      </fill>
    </dxf>
    <dxf>
      <fill>
        <patternFill patternType="solid">
          <fgColor rgb="FFF4872D"/>
          <bgColor rgb="FF000000"/>
        </patternFill>
      </fill>
    </dxf>
    <dxf>
      <fill>
        <patternFill patternType="solid">
          <fgColor rgb="FFF4882D"/>
          <bgColor rgb="FF000000"/>
        </patternFill>
      </fill>
    </dxf>
    <dxf>
      <fill>
        <patternFill patternType="solid">
          <fgColor rgb="FFF48D2B"/>
          <bgColor rgb="FF000000"/>
        </patternFill>
      </fill>
    </dxf>
    <dxf>
      <fill>
        <patternFill patternType="solid">
          <fgColor rgb="FFF58F2A"/>
          <bgColor rgb="FF000000"/>
        </patternFill>
      </fill>
    </dxf>
    <dxf>
      <fill>
        <patternFill patternType="solid">
          <fgColor rgb="FFF5912A"/>
          <bgColor rgb="FF000000"/>
        </patternFill>
      </fill>
    </dxf>
    <dxf>
      <fill>
        <patternFill patternType="solid">
          <fgColor rgb="FFF59229"/>
          <bgColor rgb="FF000000"/>
        </patternFill>
      </fill>
    </dxf>
    <dxf>
      <fill>
        <patternFill patternType="solid">
          <fgColor rgb="FFF59628"/>
          <bgColor rgb="FF000000"/>
        </patternFill>
      </fill>
    </dxf>
    <dxf>
      <fill>
        <patternFill patternType="solid">
          <fgColor rgb="FFF59827"/>
          <bgColor rgb="FF000000"/>
        </patternFill>
      </fill>
    </dxf>
    <dxf>
      <fill>
        <patternFill patternType="solid">
          <fgColor rgb="FFF5CC16"/>
          <bgColor rgb="FF000000"/>
        </patternFill>
      </fill>
    </dxf>
    <dxf>
      <fill>
        <patternFill patternType="solid">
          <fgColor rgb="FFF69B26"/>
          <bgColor rgb="FF000000"/>
        </patternFill>
      </fill>
    </dxf>
    <dxf>
      <fill>
        <patternFill patternType="solid">
          <fgColor rgb="FFF69E25"/>
          <bgColor rgb="FF000000"/>
        </patternFill>
      </fill>
    </dxf>
    <dxf>
      <fill>
        <patternFill patternType="solid">
          <fgColor rgb="FFF6CC16"/>
          <bgColor rgb="FF000000"/>
        </patternFill>
      </fill>
    </dxf>
    <dxf>
      <fill>
        <patternFill patternType="solid">
          <fgColor rgb="FFF7AC20"/>
          <bgColor rgb="FF000000"/>
        </patternFill>
      </fill>
    </dxf>
    <dxf>
      <fill>
        <patternFill patternType="solid">
          <fgColor rgb="FFF7AD20"/>
          <bgColor rgb="FF000000"/>
        </patternFill>
      </fill>
    </dxf>
    <dxf>
      <fill>
        <patternFill patternType="solid">
          <fgColor rgb="FFF7AE20"/>
          <bgColor rgb="FF000000"/>
        </patternFill>
      </fill>
    </dxf>
    <dxf>
      <fill>
        <patternFill patternType="solid">
          <fgColor rgb="FFF7B11F"/>
          <bgColor rgb="FF000000"/>
        </patternFill>
      </fill>
    </dxf>
    <dxf>
      <fill>
        <patternFill patternType="solid">
          <fgColor rgb="FFF8B51D"/>
          <bgColor rgb="FF000000"/>
        </patternFill>
      </fill>
    </dxf>
    <dxf>
      <fill>
        <patternFill patternType="solid">
          <fgColor rgb="FFF8B61D"/>
          <bgColor rgb="FF000000"/>
        </patternFill>
      </fill>
    </dxf>
    <dxf>
      <fill>
        <patternFill patternType="solid">
          <fgColor rgb="FFF8B71D"/>
          <bgColor rgb="FF000000"/>
        </patternFill>
      </fill>
    </dxf>
    <dxf>
      <fill>
        <patternFill patternType="solid">
          <fgColor rgb="FFF8B81C"/>
          <bgColor rgb="FF000000"/>
        </patternFill>
      </fill>
    </dxf>
    <dxf>
      <fill>
        <patternFill patternType="solid">
          <fgColor rgb="FFF8B91C"/>
          <bgColor rgb="FF000000"/>
        </patternFill>
      </fill>
    </dxf>
    <dxf>
      <fill>
        <patternFill patternType="solid">
          <fgColor rgb="FFF8BC1B"/>
          <bgColor rgb="FF000000"/>
        </patternFill>
      </fill>
    </dxf>
    <dxf>
      <fill>
        <patternFill patternType="solid">
          <fgColor rgb="FFF8BD1B"/>
          <bgColor rgb="FF000000"/>
        </patternFill>
      </fill>
    </dxf>
    <dxf>
      <fill>
        <patternFill patternType="solid">
          <fgColor rgb="FFF8BF1A"/>
          <bgColor rgb="FF000000"/>
        </patternFill>
      </fill>
    </dxf>
    <dxf>
      <fill>
        <patternFill patternType="solid">
          <fgColor rgb="FFF9C01A"/>
          <bgColor rgb="FF000000"/>
        </patternFill>
      </fill>
    </dxf>
    <dxf>
      <fill>
        <patternFill patternType="solid">
          <fgColor rgb="FFF9C119"/>
          <bgColor rgb="FF000000"/>
        </patternFill>
      </fill>
    </dxf>
    <dxf>
      <fill>
        <patternFill patternType="solid">
          <fgColor rgb="FFF9C219"/>
          <bgColor rgb="FF000000"/>
        </patternFill>
      </fill>
    </dxf>
    <dxf>
      <fill>
        <patternFill patternType="solid">
          <fgColor rgb="FFF9CA16"/>
          <bgColor rgb="FF000000"/>
        </patternFill>
      </fill>
    </dxf>
    <dxf>
      <fill>
        <patternFill patternType="solid">
          <fgColor rgb="FFF9CC15"/>
          <bgColor rgb="FF000000"/>
        </patternFill>
      </fill>
    </dxf>
    <dxf>
      <font>
        <name val="Calibri"/>
        <charset val="1"/>
        <family val="0"/>
        <b val="1"/>
        <color rgb="FF6B7280"/>
        <sz val="9"/>
      </font>
      <fill>
        <patternFill>
          <bgColor rgb="FFF8FAFC"/>
        </patternFill>
      </fill>
    </dxf>
    <dxf>
      <fill>
        <patternFill patternType="solid">
          <fgColor rgb="FF334155"/>
          <bgColor rgb="FF000000"/>
        </patternFill>
      </fill>
    </dxf>
    <dxf>
      <font>
        <name val="Calibri"/>
        <charset val="1"/>
        <family val="0"/>
        <color rgb="FFDC2626"/>
        <sz val="9"/>
      </font>
      <fill>
        <patternFill>
          <bgColor rgb="FFFEE2E2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BEB"/>
      <rgbColor rgb="FFFF00FF"/>
      <rgbColor rgb="FF00FFFF"/>
      <rgbColor rgb="FF991B1B"/>
      <rgbColor rgb="FF008000"/>
      <rgbColor rgb="FF000080"/>
      <rgbColor rgb="FF808000"/>
      <rgbColor rgb="FF800080"/>
      <rgbColor rgb="FF0D9488"/>
      <rgbColor rgb="FFAABBCC"/>
      <rgbColor rgb="FF808080"/>
      <rgbColor rgb="FF8BAABF"/>
      <rgbColor rgb="FF7C3AED"/>
      <rgbColor rgb="FFFEF9C3"/>
      <rgbColor rgb="FFDCFCE7"/>
      <rgbColor rgb="FF660066"/>
      <rgbColor rgb="FFFF8080"/>
      <rgbColor rgb="FF0066CC"/>
      <rgbColor rgb="FFEDE9FE"/>
      <rgbColor rgb="FF000080"/>
      <rgbColor rgb="FFFF00FF"/>
      <rgbColor rgb="FFF8FAFC"/>
      <rgbColor rgb="FF00FFFF"/>
      <rgbColor rgb="FF800080"/>
      <rgbColor rgb="FF800000"/>
      <rgbColor rgb="FF008080"/>
      <rgbColor rgb="FF0000FF"/>
      <rgbColor rgb="FF00CCFF"/>
      <rgbColor rgb="FFDBEAFE"/>
      <rgbColor rgb="FFF0FDF4"/>
      <rgbColor rgb="FFFEF3C7"/>
      <rgbColor rgb="FFEFF6FF"/>
      <rgbColor rgb="FFFEF2F2"/>
      <rgbColor rgb="FFF1F5F9"/>
      <rgbColor rgb="FFFEE2E2"/>
      <rgbColor rgb="FF2563EB"/>
      <rgbColor rgb="FF33CCCC"/>
      <rgbColor rgb="FF99CC00"/>
      <rgbColor rgb="FFFFCC00"/>
      <rgbColor rgb="FFD97706"/>
      <rgbColor rgb="FFE85D04"/>
      <rgbColor rgb="FF6B7280"/>
      <rgbColor rgb="FF94A3B8"/>
      <rgbColor rgb="FF1C2B4A"/>
      <rgbColor rgb="FF16A34A"/>
      <rgbColor rgb="FF111827"/>
      <rgbColor rgb="FF333300"/>
      <rgbColor rgb="FF92400E"/>
      <rgbColor rgb="FF993366"/>
      <rgbColor rgb="FF334155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L1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48"/>
    <col collapsed="false" customWidth="true" hidden="false" outlineLevel="0" max="4" min="4" style="0" width="28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6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2" hidden="false" customHeight="true" outlineLevel="0" collapsed="false">
      <c r="A4" s="4" t="s">
        <v>2</v>
      </c>
      <c r="B4" s="4"/>
      <c r="C4" s="4"/>
      <c r="D4" s="4" t="s">
        <v>3</v>
      </c>
      <c r="E4" s="4"/>
      <c r="F4" s="4"/>
      <c r="G4" s="4" t="s">
        <v>4</v>
      </c>
      <c r="H4" s="4"/>
      <c r="I4" s="4"/>
      <c r="J4" s="4" t="s">
        <v>5</v>
      </c>
      <c r="K4" s="4"/>
      <c r="L4" s="4"/>
    </row>
    <row r="5" customFormat="false" ht="24" hidden="false" customHeight="true" outlineLevel="0" collapsed="false">
      <c r="A5" s="5" t="n">
        <v>447319.1139</v>
      </c>
      <c r="B5" s="5"/>
      <c r="C5" s="5"/>
      <c r="D5" s="6" t="n">
        <v>156756.0839</v>
      </c>
      <c r="E5" s="6"/>
      <c r="F5" s="6"/>
      <c r="G5" s="7" t="n">
        <v>10</v>
      </c>
      <c r="H5" s="7"/>
      <c r="I5" s="7"/>
      <c r="J5" s="8" t="n">
        <v>70</v>
      </c>
      <c r="K5" s="8"/>
      <c r="L5" s="8"/>
    </row>
    <row r="6" customFormat="false" ht="6.7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customFormat="false" ht="19.5" hidden="false" customHeight="true" outlineLevel="0" collapsed="false">
      <c r="A7" s="9" t="s">
        <v>6</v>
      </c>
      <c r="B7" s="9" t="s">
        <v>7</v>
      </c>
      <c r="C7" s="9" t="s">
        <v>8</v>
      </c>
      <c r="D7" s="9" t="s">
        <v>9</v>
      </c>
      <c r="E7" s="9" t="s">
        <v>10</v>
      </c>
      <c r="F7" s="9" t="s">
        <v>11</v>
      </c>
      <c r="G7" s="9" t="s">
        <v>12</v>
      </c>
      <c r="H7" s="9" t="s">
        <v>13</v>
      </c>
      <c r="I7" s="9" t="s">
        <v>14</v>
      </c>
      <c r="J7" s="9" t="s">
        <v>15</v>
      </c>
      <c r="K7" s="9" t="s">
        <v>16</v>
      </c>
      <c r="L7" s="9" t="s">
        <v>17</v>
      </c>
    </row>
    <row r="8" customFormat="false" ht="15.75" hidden="false" customHeight="true" outlineLevel="0" collapsed="false">
      <c r="A8" s="10" t="s">
        <v>18</v>
      </c>
      <c r="B8" s="11" t="s">
        <v>19</v>
      </c>
      <c r="C8" s="12" t="s">
        <v>20</v>
      </c>
      <c r="D8" s="13" t="s">
        <v>21</v>
      </c>
      <c r="E8" s="14" t="n">
        <v>36</v>
      </c>
      <c r="F8" s="15" t="s">
        <v>22</v>
      </c>
      <c r="G8" s="12" t="s">
        <v>23</v>
      </c>
      <c r="H8" s="16" t="n">
        <v>29772.4184</v>
      </c>
      <c r="I8" s="17" t="n">
        <v>29772.42</v>
      </c>
      <c r="J8" s="18" t="n">
        <v>46127.25</v>
      </c>
      <c r="K8" s="19" t="s">
        <v>24</v>
      </c>
      <c r="L8" s="20"/>
    </row>
    <row r="9" customFormat="false" ht="15.75" hidden="false" customHeight="true" outlineLevel="0" collapsed="false">
      <c r="A9" s="10" t="s">
        <v>18</v>
      </c>
      <c r="B9" s="11" t="s">
        <v>25</v>
      </c>
      <c r="C9" s="12" t="s">
        <v>26</v>
      </c>
      <c r="D9" s="13" t="s">
        <v>27</v>
      </c>
      <c r="E9" s="21" t="n">
        <v>188</v>
      </c>
      <c r="F9" s="15" t="s">
        <v>22</v>
      </c>
      <c r="G9" s="12" t="s">
        <v>23</v>
      </c>
      <c r="H9" s="16" t="n">
        <v>14387.3845</v>
      </c>
      <c r="I9" s="17" t="n">
        <v>14387.38</v>
      </c>
      <c r="J9" s="18" t="n">
        <v>45958.3159722222</v>
      </c>
      <c r="K9" s="19" t="s">
        <v>24</v>
      </c>
      <c r="L9" s="20"/>
    </row>
    <row r="10" customFormat="false" ht="15.75" hidden="false" customHeight="true" outlineLevel="0" collapsed="false">
      <c r="A10" s="10" t="s">
        <v>18</v>
      </c>
      <c r="B10" s="11" t="s">
        <v>28</v>
      </c>
      <c r="C10" s="12" t="s">
        <v>29</v>
      </c>
      <c r="D10" s="13" t="s">
        <v>30</v>
      </c>
      <c r="E10" s="21" t="n">
        <v>174</v>
      </c>
      <c r="F10" s="15" t="s">
        <v>22</v>
      </c>
      <c r="G10" s="12" t="s">
        <v>23</v>
      </c>
      <c r="H10" s="16" t="n">
        <v>13244.1535</v>
      </c>
      <c r="I10" s="17" t="n">
        <v>13244.15</v>
      </c>
      <c r="J10" s="18" t="n">
        <v>45966.2916666667</v>
      </c>
      <c r="K10" s="19" t="s">
        <v>24</v>
      </c>
      <c r="L10" s="20"/>
    </row>
    <row r="11" customFormat="false" ht="15.75" hidden="false" customHeight="true" outlineLevel="0" collapsed="false">
      <c r="A11" s="10" t="s">
        <v>18</v>
      </c>
      <c r="B11" s="11" t="s">
        <v>31</v>
      </c>
      <c r="C11" s="12" t="s">
        <v>32</v>
      </c>
      <c r="D11" s="13" t="s">
        <v>33</v>
      </c>
      <c r="E11" s="21" t="n">
        <v>372</v>
      </c>
      <c r="F11" s="15" t="s">
        <v>22</v>
      </c>
      <c r="G11" s="12" t="s">
        <v>34</v>
      </c>
      <c r="H11" s="16" t="n">
        <v>12263.736</v>
      </c>
      <c r="I11" s="17" t="n">
        <v>12263.74</v>
      </c>
      <c r="J11" s="18" t="n">
        <v>45776.4965277778</v>
      </c>
      <c r="K11" s="19" t="s">
        <v>24</v>
      </c>
      <c r="L11" s="20"/>
    </row>
    <row r="12" customFormat="false" ht="15.75" hidden="false" customHeight="true" outlineLevel="0" collapsed="false">
      <c r="A12" s="10" t="s">
        <v>18</v>
      </c>
      <c r="B12" s="11" t="s">
        <v>35</v>
      </c>
      <c r="C12" s="12" t="s">
        <v>36</v>
      </c>
      <c r="D12" s="13" t="s">
        <v>37</v>
      </c>
      <c r="E12" s="21" t="n">
        <v>305</v>
      </c>
      <c r="F12" s="15" t="s">
        <v>22</v>
      </c>
      <c r="G12" s="12" t="s">
        <v>38</v>
      </c>
      <c r="H12" s="16" t="n">
        <v>11120.0209</v>
      </c>
      <c r="I12" s="17" t="n">
        <v>11120.02</v>
      </c>
      <c r="J12" s="18" t="n">
        <v>46084.3784722222</v>
      </c>
      <c r="K12" s="19" t="s">
        <v>24</v>
      </c>
      <c r="L12" s="20"/>
    </row>
    <row r="13" customFormat="false" ht="15.75" hidden="false" customHeight="true" outlineLevel="0" collapsed="false">
      <c r="A13" s="10" t="s">
        <v>18</v>
      </c>
      <c r="B13" s="11" t="s">
        <v>39</v>
      </c>
      <c r="C13" s="12" t="s">
        <v>40</v>
      </c>
      <c r="D13" s="13" t="s">
        <v>41</v>
      </c>
      <c r="E13" s="21" t="n">
        <v>250</v>
      </c>
      <c r="F13" s="15" t="s">
        <v>22</v>
      </c>
      <c r="G13" s="12" t="s">
        <v>23</v>
      </c>
      <c r="H13" s="16" t="n">
        <v>10484</v>
      </c>
      <c r="I13" s="17" t="n">
        <v>10484</v>
      </c>
      <c r="J13" s="18" t="n">
        <v>45870.375</v>
      </c>
      <c r="K13" s="19" t="s">
        <v>24</v>
      </c>
      <c r="L13" s="20"/>
    </row>
    <row r="14" customFormat="false" ht="15.75" hidden="false" customHeight="true" outlineLevel="0" collapsed="false">
      <c r="A14" s="10" t="s">
        <v>18</v>
      </c>
      <c r="B14" s="22" t="s">
        <v>42</v>
      </c>
      <c r="C14" s="23" t="s">
        <v>43</v>
      </c>
      <c r="D14" s="24" t="s">
        <v>44</v>
      </c>
      <c r="E14" s="25" t="n">
        <v>312</v>
      </c>
      <c r="F14" s="26" t="s">
        <v>22</v>
      </c>
      <c r="G14" s="23" t="s">
        <v>23</v>
      </c>
      <c r="H14" s="27" t="n">
        <v>10090.053</v>
      </c>
      <c r="I14" s="28" t="n">
        <v>10090.05</v>
      </c>
      <c r="J14" s="29" t="n">
        <v>46029.3451388889</v>
      </c>
      <c r="K14" s="30" t="s">
        <v>24</v>
      </c>
      <c r="L14" s="31"/>
    </row>
    <row r="15" customFormat="false" ht="15.75" hidden="false" customHeight="true" outlineLevel="0" collapsed="false">
      <c r="A15" s="10" t="s">
        <v>18</v>
      </c>
      <c r="B15" s="11" t="s">
        <v>45</v>
      </c>
      <c r="C15" s="12" t="s">
        <v>46</v>
      </c>
      <c r="D15" s="13" t="s">
        <v>21</v>
      </c>
      <c r="E15" s="21" t="n">
        <v>112</v>
      </c>
      <c r="F15" s="15" t="s">
        <v>22</v>
      </c>
      <c r="G15" s="12" t="s">
        <v>47</v>
      </c>
      <c r="H15" s="16" t="n">
        <v>10056.493</v>
      </c>
      <c r="I15" s="17" t="n">
        <v>10056.49</v>
      </c>
      <c r="J15" s="18" t="n">
        <v>46027.3333333333</v>
      </c>
      <c r="K15" s="19" t="s">
        <v>24</v>
      </c>
      <c r="L15" s="20"/>
    </row>
    <row r="16" customFormat="false" ht="15.75" hidden="false" customHeight="true" outlineLevel="0" collapsed="false">
      <c r="A16" s="10" t="s">
        <v>18</v>
      </c>
      <c r="B16" s="11" t="s">
        <v>48</v>
      </c>
      <c r="C16" s="12" t="s">
        <v>49</v>
      </c>
      <c r="D16" s="13" t="s">
        <v>50</v>
      </c>
      <c r="E16" s="14" t="n">
        <v>34</v>
      </c>
      <c r="F16" s="15" t="s">
        <v>22</v>
      </c>
      <c r="G16" s="12" t="s">
        <v>23</v>
      </c>
      <c r="H16" s="16" t="n">
        <v>13702.25</v>
      </c>
      <c r="I16" s="17" t="n">
        <v>13702.25</v>
      </c>
      <c r="J16" s="18" t="n">
        <v>46085.5</v>
      </c>
      <c r="K16" s="19" t="s">
        <v>24</v>
      </c>
      <c r="L16" s="20"/>
    </row>
    <row r="17" customFormat="false" ht="15.75" hidden="false" customHeight="true" outlineLevel="0" collapsed="false">
      <c r="A17" s="10" t="s">
        <v>18</v>
      </c>
      <c r="B17" s="32" t="s">
        <v>51</v>
      </c>
      <c r="C17" s="33" t="s">
        <v>52</v>
      </c>
      <c r="D17" s="34" t="s">
        <v>53</v>
      </c>
      <c r="E17" s="35" t="n">
        <v>61</v>
      </c>
      <c r="F17" s="36" t="s">
        <v>54</v>
      </c>
      <c r="G17" s="37"/>
      <c r="H17" s="38" t="n">
        <v>13457.86</v>
      </c>
      <c r="I17" s="39" t="n">
        <v>13457.86</v>
      </c>
      <c r="J17" s="40"/>
      <c r="K17" s="41" t="s">
        <v>24</v>
      </c>
      <c r="L17" s="42"/>
    </row>
    <row r="18" customFormat="false" ht="15.75" hidden="false" customHeight="true" outlineLevel="0" collapsed="false">
      <c r="A18" s="43" t="s">
        <v>55</v>
      </c>
      <c r="B18" s="11" t="s">
        <v>56</v>
      </c>
      <c r="C18" s="12" t="s">
        <v>57</v>
      </c>
      <c r="D18" s="13" t="s">
        <v>58</v>
      </c>
      <c r="E18" s="21" t="n">
        <v>207</v>
      </c>
      <c r="F18" s="15" t="s">
        <v>22</v>
      </c>
      <c r="G18" s="12" t="s">
        <v>23</v>
      </c>
      <c r="H18" s="16" t="n">
        <v>7507.5684</v>
      </c>
      <c r="I18" s="17" t="n">
        <v>7507.57</v>
      </c>
      <c r="J18" s="18" t="n">
        <v>45916.375</v>
      </c>
      <c r="K18" s="19" t="s">
        <v>24</v>
      </c>
      <c r="L18" s="20"/>
    </row>
    <row r="19" customFormat="false" ht="15.75" hidden="false" customHeight="true" outlineLevel="0" collapsed="false">
      <c r="A19" s="43" t="s">
        <v>55</v>
      </c>
      <c r="B19" s="11" t="s">
        <v>59</v>
      </c>
      <c r="C19" s="12" t="s">
        <v>29</v>
      </c>
      <c r="D19" s="13" t="s">
        <v>30</v>
      </c>
      <c r="E19" s="21" t="n">
        <v>137</v>
      </c>
      <c r="F19" s="15" t="s">
        <v>22</v>
      </c>
      <c r="G19" s="12" t="s">
        <v>47</v>
      </c>
      <c r="H19" s="16" t="n">
        <v>7430</v>
      </c>
      <c r="I19" s="17" t="n">
        <v>7430</v>
      </c>
      <c r="J19" s="18" t="n">
        <v>46058.2986111111</v>
      </c>
      <c r="K19" s="19" t="s">
        <v>24</v>
      </c>
      <c r="L19" s="20"/>
    </row>
    <row r="20" customFormat="false" ht="15.75" hidden="false" customHeight="true" outlineLevel="0" collapsed="false">
      <c r="A20" s="43" t="s">
        <v>55</v>
      </c>
      <c r="B20" s="11" t="s">
        <v>60</v>
      </c>
      <c r="C20" s="12" t="s">
        <v>61</v>
      </c>
      <c r="D20" s="13" t="s">
        <v>62</v>
      </c>
      <c r="E20" s="21" t="n">
        <v>173</v>
      </c>
      <c r="F20" s="15" t="s">
        <v>22</v>
      </c>
      <c r="G20" s="12" t="s">
        <v>47</v>
      </c>
      <c r="H20" s="16" t="n">
        <v>7065.508</v>
      </c>
      <c r="I20" s="17" t="n">
        <v>7065.52</v>
      </c>
      <c r="J20" s="18" t="n">
        <v>45967.2916666667</v>
      </c>
      <c r="K20" s="19" t="s">
        <v>24</v>
      </c>
      <c r="L20" s="20"/>
    </row>
    <row r="21" customFormat="false" ht="15.75" hidden="false" customHeight="true" outlineLevel="0" collapsed="false">
      <c r="A21" s="43" t="s">
        <v>55</v>
      </c>
      <c r="B21" s="11" t="s">
        <v>63</v>
      </c>
      <c r="C21" s="12" t="s">
        <v>64</v>
      </c>
      <c r="D21" s="13" t="s">
        <v>65</v>
      </c>
      <c r="E21" s="21" t="n">
        <v>113</v>
      </c>
      <c r="F21" s="15" t="s">
        <v>22</v>
      </c>
      <c r="G21" s="12" t="s">
        <v>47</v>
      </c>
      <c r="H21" s="16" t="n">
        <v>5834.7131</v>
      </c>
      <c r="I21" s="17" t="n">
        <v>5834.72</v>
      </c>
      <c r="J21" s="18" t="n">
        <v>46051.25</v>
      </c>
      <c r="K21" s="44" t="s">
        <v>66</v>
      </c>
      <c r="L21" s="20"/>
    </row>
    <row r="22" customFormat="false" ht="15.75" hidden="false" customHeight="true" outlineLevel="0" collapsed="false">
      <c r="A22" s="43" t="s">
        <v>55</v>
      </c>
      <c r="B22" s="22" t="s">
        <v>67</v>
      </c>
      <c r="C22" s="23" t="s">
        <v>68</v>
      </c>
      <c r="D22" s="24" t="s">
        <v>69</v>
      </c>
      <c r="E22" s="25" t="n">
        <v>118</v>
      </c>
      <c r="F22" s="26" t="s">
        <v>22</v>
      </c>
      <c r="G22" s="23" t="s">
        <v>38</v>
      </c>
      <c r="H22" s="27" t="n">
        <v>5383.0095</v>
      </c>
      <c r="I22" s="28" t="n">
        <v>5383.01</v>
      </c>
      <c r="J22" s="29" t="n">
        <v>46056.25</v>
      </c>
      <c r="K22" s="30" t="s">
        <v>24</v>
      </c>
      <c r="L22" s="31"/>
    </row>
    <row r="23" customFormat="false" ht="15.75" hidden="false" customHeight="true" outlineLevel="0" collapsed="false">
      <c r="A23" s="43" t="s">
        <v>55</v>
      </c>
      <c r="B23" s="11" t="s">
        <v>70</v>
      </c>
      <c r="C23" s="12" t="s">
        <v>71</v>
      </c>
      <c r="D23" s="13" t="s">
        <v>72</v>
      </c>
      <c r="E23" s="21" t="n">
        <v>223</v>
      </c>
      <c r="F23" s="15" t="s">
        <v>22</v>
      </c>
      <c r="G23" s="12" t="s">
        <v>38</v>
      </c>
      <c r="H23" s="16" t="n">
        <v>5090</v>
      </c>
      <c r="I23" s="17" t="n">
        <v>5090</v>
      </c>
      <c r="J23" s="18" t="n">
        <v>46009.4166666667</v>
      </c>
      <c r="K23" s="19" t="s">
        <v>24</v>
      </c>
      <c r="L23" s="20"/>
    </row>
    <row r="24" customFormat="false" ht="15.75" hidden="false" customHeight="true" outlineLevel="0" collapsed="false">
      <c r="A24" s="43" t="s">
        <v>55</v>
      </c>
      <c r="B24" s="11" t="s">
        <v>73</v>
      </c>
      <c r="C24" s="12" t="s">
        <v>74</v>
      </c>
      <c r="D24" s="13" t="s">
        <v>75</v>
      </c>
      <c r="E24" s="21" t="n">
        <v>188</v>
      </c>
      <c r="F24" s="15" t="s">
        <v>22</v>
      </c>
      <c r="G24" s="12" t="s">
        <v>47</v>
      </c>
      <c r="H24" s="16" t="n">
        <v>4728.67</v>
      </c>
      <c r="I24" s="17" t="n">
        <v>4728.66</v>
      </c>
      <c r="J24" s="18" t="n">
        <v>45938.2916666667</v>
      </c>
      <c r="K24" s="19" t="s">
        <v>24</v>
      </c>
      <c r="L24" s="20"/>
    </row>
    <row r="25" customFormat="false" ht="15.75" hidden="false" customHeight="true" outlineLevel="0" collapsed="false">
      <c r="A25" s="43" t="s">
        <v>55</v>
      </c>
      <c r="B25" s="11" t="s">
        <v>76</v>
      </c>
      <c r="C25" s="12" t="s">
        <v>77</v>
      </c>
      <c r="D25" s="13" t="s">
        <v>78</v>
      </c>
      <c r="E25" s="21" t="n">
        <v>252</v>
      </c>
      <c r="F25" s="15" t="s">
        <v>22</v>
      </c>
      <c r="G25" s="12" t="s">
        <v>47</v>
      </c>
      <c r="H25" s="16" t="n">
        <v>4500</v>
      </c>
      <c r="I25" s="17" t="n">
        <v>4500</v>
      </c>
      <c r="J25" s="18"/>
      <c r="K25" s="19" t="s">
        <v>24</v>
      </c>
      <c r="L25" s="20"/>
    </row>
    <row r="26" customFormat="false" ht="15.75" hidden="false" customHeight="true" outlineLevel="0" collapsed="false">
      <c r="A26" s="43" t="s">
        <v>55</v>
      </c>
      <c r="B26" s="22" t="s">
        <v>79</v>
      </c>
      <c r="C26" s="23" t="s">
        <v>43</v>
      </c>
      <c r="D26" s="24" t="s">
        <v>44</v>
      </c>
      <c r="E26" s="25" t="n">
        <v>132</v>
      </c>
      <c r="F26" s="26" t="s">
        <v>22</v>
      </c>
      <c r="G26" s="23" t="s">
        <v>23</v>
      </c>
      <c r="H26" s="27" t="n">
        <v>4038.228</v>
      </c>
      <c r="I26" s="28" t="n">
        <v>4038.23</v>
      </c>
      <c r="J26" s="29" t="n">
        <v>46029.25</v>
      </c>
      <c r="K26" s="30" t="s">
        <v>24</v>
      </c>
      <c r="L26" s="31"/>
    </row>
    <row r="27" customFormat="false" ht="15.75" hidden="false" customHeight="true" outlineLevel="0" collapsed="false">
      <c r="A27" s="43" t="s">
        <v>55</v>
      </c>
      <c r="B27" s="11" t="s">
        <v>80</v>
      </c>
      <c r="C27" s="12" t="s">
        <v>81</v>
      </c>
      <c r="D27" s="13" t="s">
        <v>82</v>
      </c>
      <c r="E27" s="21" t="n">
        <v>148</v>
      </c>
      <c r="F27" s="15" t="s">
        <v>22</v>
      </c>
      <c r="G27" s="12" t="s">
        <v>23</v>
      </c>
      <c r="H27" s="16" t="n">
        <v>3270</v>
      </c>
      <c r="I27" s="17" t="n">
        <v>3270</v>
      </c>
      <c r="J27" s="18" t="n">
        <v>46009.4583333333</v>
      </c>
      <c r="K27" s="19" t="s">
        <v>24</v>
      </c>
      <c r="L27" s="20"/>
    </row>
    <row r="28" customFormat="false" ht="15.75" hidden="false" customHeight="true" outlineLevel="0" collapsed="false">
      <c r="A28" s="43" t="s">
        <v>55</v>
      </c>
      <c r="B28" s="11" t="s">
        <v>83</v>
      </c>
      <c r="C28" s="12" t="s">
        <v>84</v>
      </c>
      <c r="D28" s="13" t="s">
        <v>85</v>
      </c>
      <c r="E28" s="21" t="n">
        <v>181</v>
      </c>
      <c r="F28" s="15" t="s">
        <v>22</v>
      </c>
      <c r="G28" s="12" t="s">
        <v>47</v>
      </c>
      <c r="H28" s="16" t="n">
        <v>2895.008</v>
      </c>
      <c r="I28" s="17" t="n">
        <v>2895.01</v>
      </c>
      <c r="J28" s="18" t="n">
        <v>45946.2916666667</v>
      </c>
      <c r="K28" s="19" t="s">
        <v>24</v>
      </c>
      <c r="L28" s="20"/>
    </row>
    <row r="29" customFormat="false" ht="15.75" hidden="false" customHeight="true" outlineLevel="0" collapsed="false">
      <c r="A29" s="43" t="s">
        <v>55</v>
      </c>
      <c r="B29" s="11" t="s">
        <v>86</v>
      </c>
      <c r="C29" s="12" t="s">
        <v>87</v>
      </c>
      <c r="D29" s="13" t="s">
        <v>88</v>
      </c>
      <c r="E29" s="21" t="n">
        <v>120</v>
      </c>
      <c r="F29" s="15" t="s">
        <v>22</v>
      </c>
      <c r="G29" s="12" t="s">
        <v>47</v>
      </c>
      <c r="H29" s="16" t="n">
        <v>2640</v>
      </c>
      <c r="I29" s="17" t="n">
        <v>2640</v>
      </c>
      <c r="J29" s="18" t="n">
        <v>46101.375</v>
      </c>
      <c r="K29" s="19" t="s">
        <v>24</v>
      </c>
      <c r="L29" s="20"/>
    </row>
    <row r="30" customFormat="false" ht="15.75" hidden="false" customHeight="true" outlineLevel="0" collapsed="false">
      <c r="A30" s="43" t="s">
        <v>55</v>
      </c>
      <c r="B30" s="11" t="s">
        <v>89</v>
      </c>
      <c r="C30" s="12" t="s">
        <v>90</v>
      </c>
      <c r="D30" s="13" t="s">
        <v>91</v>
      </c>
      <c r="E30" s="21" t="n">
        <v>279</v>
      </c>
      <c r="F30" s="15" t="s">
        <v>22</v>
      </c>
      <c r="G30" s="12" t="s">
        <v>23</v>
      </c>
      <c r="H30" s="16" t="n">
        <v>2628.002</v>
      </c>
      <c r="I30" s="17" t="n">
        <v>2628</v>
      </c>
      <c r="J30" s="18" t="n">
        <v>45988.3125</v>
      </c>
      <c r="K30" s="19" t="s">
        <v>24</v>
      </c>
      <c r="L30" s="20"/>
    </row>
    <row r="31" customFormat="false" ht="15.75" hidden="false" customHeight="true" outlineLevel="0" collapsed="false">
      <c r="A31" s="43" t="s">
        <v>55</v>
      </c>
      <c r="B31" s="11" t="s">
        <v>92</v>
      </c>
      <c r="C31" s="12" t="s">
        <v>93</v>
      </c>
      <c r="D31" s="13" t="s">
        <v>94</v>
      </c>
      <c r="E31" s="21" t="n">
        <v>211</v>
      </c>
      <c r="F31" s="15" t="s">
        <v>22</v>
      </c>
      <c r="G31" s="12" t="s">
        <v>95</v>
      </c>
      <c r="H31" s="16" t="n">
        <v>2528.0025</v>
      </c>
      <c r="I31" s="17" t="n">
        <v>2528</v>
      </c>
      <c r="J31" s="18" t="n">
        <v>45919.4583333333</v>
      </c>
      <c r="K31" s="19" t="s">
        <v>24</v>
      </c>
      <c r="L31" s="20"/>
    </row>
    <row r="32" customFormat="false" ht="15.75" hidden="false" customHeight="true" outlineLevel="0" collapsed="false">
      <c r="A32" s="43" t="s">
        <v>55</v>
      </c>
      <c r="B32" s="11" t="s">
        <v>96</v>
      </c>
      <c r="C32" s="12" t="s">
        <v>97</v>
      </c>
      <c r="D32" s="13" t="s">
        <v>98</v>
      </c>
      <c r="E32" s="21" t="n">
        <v>454</v>
      </c>
      <c r="F32" s="15" t="s">
        <v>22</v>
      </c>
      <c r="G32" s="12" t="s">
        <v>99</v>
      </c>
      <c r="H32" s="16" t="n">
        <v>2351.01</v>
      </c>
      <c r="I32" s="17" t="n">
        <v>2351.01</v>
      </c>
      <c r="J32" s="18" t="n">
        <v>45667.5222222222</v>
      </c>
      <c r="K32" s="19" t="s">
        <v>24</v>
      </c>
      <c r="L32" s="20"/>
    </row>
    <row r="33" customFormat="false" ht="15.75" hidden="false" customHeight="true" outlineLevel="0" collapsed="false">
      <c r="A33" s="43" t="s">
        <v>55</v>
      </c>
      <c r="B33" s="11" t="s">
        <v>100</v>
      </c>
      <c r="C33" s="12" t="s">
        <v>101</v>
      </c>
      <c r="D33" s="13" t="s">
        <v>78</v>
      </c>
      <c r="E33" s="21" t="n">
        <v>274</v>
      </c>
      <c r="F33" s="15" t="s">
        <v>22</v>
      </c>
      <c r="G33" s="12" t="s">
        <v>38</v>
      </c>
      <c r="H33" s="16" t="n">
        <v>2110.0006</v>
      </c>
      <c r="I33" s="17" t="n">
        <v>2110</v>
      </c>
      <c r="J33" s="18" t="n">
        <v>45877.5486111111</v>
      </c>
      <c r="K33" s="19" t="s">
        <v>24</v>
      </c>
      <c r="L33" s="20"/>
    </row>
    <row r="34" customFormat="false" ht="15.75" hidden="false" customHeight="true" outlineLevel="0" collapsed="false">
      <c r="A34" s="43" t="s">
        <v>55</v>
      </c>
      <c r="B34" s="11" t="s">
        <v>102</v>
      </c>
      <c r="C34" s="12" t="s">
        <v>103</v>
      </c>
      <c r="D34" s="13" t="s">
        <v>104</v>
      </c>
      <c r="E34" s="21" t="n">
        <v>225</v>
      </c>
      <c r="F34" s="15" t="s">
        <v>22</v>
      </c>
      <c r="G34" s="12" t="s">
        <v>47</v>
      </c>
      <c r="H34" s="16" t="n">
        <v>2080</v>
      </c>
      <c r="I34" s="17" t="n">
        <v>2080</v>
      </c>
      <c r="J34" s="18" t="n">
        <v>45909.375</v>
      </c>
      <c r="K34" s="19" t="s">
        <v>24</v>
      </c>
      <c r="L34" s="20"/>
    </row>
    <row r="35" customFormat="false" ht="15.75" hidden="false" customHeight="true" outlineLevel="0" collapsed="false">
      <c r="A35" s="43" t="s">
        <v>55</v>
      </c>
      <c r="B35" s="11" t="s">
        <v>105</v>
      </c>
      <c r="C35" s="12" t="s">
        <v>106</v>
      </c>
      <c r="D35" s="13" t="s">
        <v>107</v>
      </c>
      <c r="E35" s="21" t="n">
        <v>138</v>
      </c>
      <c r="F35" s="15" t="s">
        <v>22</v>
      </c>
      <c r="G35" s="12" t="s">
        <v>23</v>
      </c>
      <c r="H35" s="16" t="n">
        <v>2098.7851</v>
      </c>
      <c r="I35" s="17" t="n">
        <v>2098.78</v>
      </c>
      <c r="J35" s="18" t="n">
        <v>45982.4625</v>
      </c>
      <c r="K35" s="19" t="s">
        <v>24</v>
      </c>
      <c r="L35" s="20"/>
    </row>
    <row r="36" customFormat="false" ht="15.75" hidden="false" customHeight="true" outlineLevel="0" collapsed="false">
      <c r="A36" s="43" t="s">
        <v>55</v>
      </c>
      <c r="B36" s="11" t="s">
        <v>108</v>
      </c>
      <c r="C36" s="12" t="s">
        <v>109</v>
      </c>
      <c r="D36" s="13" t="s">
        <v>110</v>
      </c>
      <c r="E36" s="21" t="n">
        <v>158</v>
      </c>
      <c r="F36" s="15" t="s">
        <v>22</v>
      </c>
      <c r="G36" s="12" t="s">
        <v>23</v>
      </c>
      <c r="H36" s="16" t="n">
        <v>1893.003</v>
      </c>
      <c r="I36" s="17" t="n">
        <v>1893</v>
      </c>
      <c r="J36" s="18"/>
      <c r="K36" s="19" t="s">
        <v>24</v>
      </c>
      <c r="L36" s="20"/>
    </row>
    <row r="37" customFormat="false" ht="15.75" hidden="false" customHeight="true" outlineLevel="0" collapsed="false">
      <c r="A37" s="43" t="s">
        <v>55</v>
      </c>
      <c r="B37" s="11" t="s">
        <v>111</v>
      </c>
      <c r="C37" s="12" t="s">
        <v>112</v>
      </c>
      <c r="D37" s="13" t="s">
        <v>113</v>
      </c>
      <c r="E37" s="21" t="n">
        <v>188</v>
      </c>
      <c r="F37" s="15" t="s">
        <v>22</v>
      </c>
      <c r="G37" s="12" t="s">
        <v>23</v>
      </c>
      <c r="H37" s="16" t="n">
        <v>1560.006</v>
      </c>
      <c r="I37" s="17" t="n">
        <v>1560.01</v>
      </c>
      <c r="J37" s="18" t="n">
        <v>45932.5270833333</v>
      </c>
      <c r="K37" s="19" t="s">
        <v>24</v>
      </c>
      <c r="L37" s="20"/>
    </row>
    <row r="38" customFormat="false" ht="15.75" hidden="false" customHeight="true" outlineLevel="0" collapsed="false">
      <c r="A38" s="43" t="s">
        <v>55</v>
      </c>
      <c r="B38" s="22" t="s">
        <v>114</v>
      </c>
      <c r="C38" s="23" t="s">
        <v>115</v>
      </c>
      <c r="D38" s="24" t="s">
        <v>116</v>
      </c>
      <c r="E38" s="25" t="n">
        <v>145</v>
      </c>
      <c r="F38" s="26" t="s">
        <v>22</v>
      </c>
      <c r="G38" s="23" t="s">
        <v>47</v>
      </c>
      <c r="H38" s="27" t="n">
        <v>1630.63</v>
      </c>
      <c r="I38" s="28" t="n">
        <v>1630.63</v>
      </c>
      <c r="J38" s="29" t="n">
        <v>45989.4166666667</v>
      </c>
      <c r="K38" s="30" t="s">
        <v>24</v>
      </c>
      <c r="L38" s="31"/>
    </row>
    <row r="39" customFormat="false" ht="15.75" hidden="false" customHeight="true" outlineLevel="0" collapsed="false">
      <c r="A39" s="43" t="s">
        <v>55</v>
      </c>
      <c r="B39" s="11" t="s">
        <v>117</v>
      </c>
      <c r="C39" s="12" t="s">
        <v>118</v>
      </c>
      <c r="D39" s="13" t="s">
        <v>119</v>
      </c>
      <c r="E39" s="21" t="n">
        <v>139</v>
      </c>
      <c r="F39" s="15" t="s">
        <v>22</v>
      </c>
      <c r="G39" s="12" t="s">
        <v>23</v>
      </c>
      <c r="H39" s="16" t="n">
        <v>1195.282</v>
      </c>
      <c r="I39" s="17" t="n">
        <v>1195.28</v>
      </c>
      <c r="J39" s="18" t="n">
        <v>45987.4583333333</v>
      </c>
      <c r="K39" s="19" t="s">
        <v>24</v>
      </c>
      <c r="L39" s="20"/>
    </row>
    <row r="40" customFormat="false" ht="15.75" hidden="false" customHeight="true" outlineLevel="0" collapsed="false">
      <c r="A40" s="43" t="s">
        <v>55</v>
      </c>
      <c r="B40" s="11" t="s">
        <v>120</v>
      </c>
      <c r="C40" s="12" t="s">
        <v>121</v>
      </c>
      <c r="D40" s="13" t="s">
        <v>122</v>
      </c>
      <c r="E40" s="21" t="n">
        <v>295</v>
      </c>
      <c r="F40" s="15" t="s">
        <v>22</v>
      </c>
      <c r="G40" s="12" t="s">
        <v>23</v>
      </c>
      <c r="H40" s="16" t="n">
        <v>1067.006</v>
      </c>
      <c r="I40" s="17" t="n">
        <v>1067.01</v>
      </c>
      <c r="J40" s="18" t="n">
        <v>45923.2916666667</v>
      </c>
      <c r="K40" s="19" t="s">
        <v>24</v>
      </c>
      <c r="L40" s="20"/>
    </row>
    <row r="41" customFormat="false" ht="15.75" hidden="false" customHeight="true" outlineLevel="0" collapsed="false">
      <c r="A41" s="43" t="s">
        <v>55</v>
      </c>
      <c r="B41" s="11" t="s">
        <v>123</v>
      </c>
      <c r="C41" s="12" t="s">
        <v>124</v>
      </c>
      <c r="D41" s="13" t="s">
        <v>125</v>
      </c>
      <c r="E41" s="21" t="n">
        <v>124</v>
      </c>
      <c r="F41" s="15" t="s">
        <v>22</v>
      </c>
      <c r="G41" s="12" t="s">
        <v>47</v>
      </c>
      <c r="H41" s="16" t="n">
        <v>1040.001</v>
      </c>
      <c r="I41" s="17" t="n">
        <v>1040</v>
      </c>
      <c r="J41" s="18" t="n">
        <v>46052.25</v>
      </c>
      <c r="K41" s="19" t="s">
        <v>24</v>
      </c>
      <c r="L41" s="20"/>
    </row>
    <row r="42" customFormat="false" ht="15.75" hidden="false" customHeight="true" outlineLevel="0" collapsed="false">
      <c r="A42" s="43" t="s">
        <v>55</v>
      </c>
      <c r="B42" s="11" t="s">
        <v>126</v>
      </c>
      <c r="C42" s="12" t="s">
        <v>127</v>
      </c>
      <c r="D42" s="13" t="s">
        <v>125</v>
      </c>
      <c r="E42" s="21" t="n">
        <v>111</v>
      </c>
      <c r="F42" s="15" t="s">
        <v>22</v>
      </c>
      <c r="G42" s="12" t="s">
        <v>23</v>
      </c>
      <c r="H42" s="16" t="n">
        <v>1040.004</v>
      </c>
      <c r="I42" s="17" t="n">
        <v>1040</v>
      </c>
      <c r="J42" s="18" t="n">
        <v>46052.3402777778</v>
      </c>
      <c r="K42" s="19" t="s">
        <v>24</v>
      </c>
      <c r="L42" s="20"/>
    </row>
    <row r="43" customFormat="false" ht="15.75" hidden="false" customHeight="true" outlineLevel="0" collapsed="false">
      <c r="A43" s="43" t="s">
        <v>55</v>
      </c>
      <c r="B43" s="22" t="s">
        <v>128</v>
      </c>
      <c r="C43" s="23" t="s">
        <v>129</v>
      </c>
      <c r="D43" s="24" t="s">
        <v>125</v>
      </c>
      <c r="E43" s="25" t="n">
        <v>298</v>
      </c>
      <c r="F43" s="26" t="s">
        <v>22</v>
      </c>
      <c r="G43" s="23" t="s">
        <v>23</v>
      </c>
      <c r="H43" s="27" t="n">
        <v>1040.004</v>
      </c>
      <c r="I43" s="28" t="n">
        <v>1040</v>
      </c>
      <c r="J43" s="29" t="n">
        <v>46058.5</v>
      </c>
      <c r="K43" s="30" t="s">
        <v>24</v>
      </c>
      <c r="L43" s="31"/>
    </row>
    <row r="44" customFormat="false" ht="15.75" hidden="false" customHeight="true" outlineLevel="0" collapsed="false">
      <c r="A44" s="43" t="s">
        <v>55</v>
      </c>
      <c r="B44" s="22" t="s">
        <v>130</v>
      </c>
      <c r="C44" s="23" t="s">
        <v>131</v>
      </c>
      <c r="D44" s="24" t="s">
        <v>116</v>
      </c>
      <c r="E44" s="25" t="n">
        <v>145</v>
      </c>
      <c r="F44" s="26" t="s">
        <v>22</v>
      </c>
      <c r="G44" s="23" t="s">
        <v>47</v>
      </c>
      <c r="H44" s="27" t="n">
        <v>843.5</v>
      </c>
      <c r="I44" s="28" t="n">
        <v>843.5</v>
      </c>
      <c r="J44" s="29" t="n">
        <v>45989.5416666667</v>
      </c>
      <c r="K44" s="30" t="s">
        <v>24</v>
      </c>
      <c r="L44" s="31"/>
    </row>
    <row r="45" customFormat="false" ht="15.75" hidden="false" customHeight="true" outlineLevel="0" collapsed="false">
      <c r="A45" s="43" t="s">
        <v>55</v>
      </c>
      <c r="B45" s="11" t="s">
        <v>132</v>
      </c>
      <c r="C45" s="12" t="s">
        <v>133</v>
      </c>
      <c r="D45" s="13" t="s">
        <v>134</v>
      </c>
      <c r="E45" s="21" t="n">
        <v>280</v>
      </c>
      <c r="F45" s="15" t="s">
        <v>22</v>
      </c>
      <c r="G45" s="12" t="s">
        <v>47</v>
      </c>
      <c r="H45" s="16" t="n">
        <v>800.003</v>
      </c>
      <c r="I45" s="17" t="n">
        <v>800</v>
      </c>
      <c r="J45" s="18" t="n">
        <v>45854.3020833333</v>
      </c>
      <c r="K45" s="19" t="s">
        <v>24</v>
      </c>
      <c r="L45" s="20"/>
    </row>
    <row r="46" customFormat="false" ht="15.75" hidden="false" customHeight="true" outlineLevel="0" collapsed="false">
      <c r="A46" s="43" t="s">
        <v>55</v>
      </c>
      <c r="B46" s="11" t="s">
        <v>135</v>
      </c>
      <c r="C46" s="12" t="s">
        <v>136</v>
      </c>
      <c r="D46" s="13" t="s">
        <v>137</v>
      </c>
      <c r="E46" s="21" t="n">
        <v>124</v>
      </c>
      <c r="F46" s="15" t="s">
        <v>22</v>
      </c>
      <c r="G46" s="12" t="s">
        <v>47</v>
      </c>
      <c r="H46" s="16" t="n">
        <v>734.001</v>
      </c>
      <c r="I46" s="17" t="n">
        <v>734</v>
      </c>
      <c r="J46" s="18" t="n">
        <v>46007.375</v>
      </c>
      <c r="K46" s="19" t="s">
        <v>24</v>
      </c>
      <c r="L46" s="20"/>
    </row>
    <row r="47" customFormat="false" ht="15.75" hidden="false" customHeight="true" outlineLevel="0" collapsed="false">
      <c r="A47" s="43" t="s">
        <v>55</v>
      </c>
      <c r="B47" s="11" t="s">
        <v>138</v>
      </c>
      <c r="C47" s="12" t="s">
        <v>139</v>
      </c>
      <c r="D47" s="13" t="s">
        <v>140</v>
      </c>
      <c r="E47" s="21" t="n">
        <v>92</v>
      </c>
      <c r="F47" s="15" t="s">
        <v>22</v>
      </c>
      <c r="G47" s="12" t="s">
        <v>47</v>
      </c>
      <c r="H47" s="16" t="n">
        <v>292</v>
      </c>
      <c r="I47" s="17" t="n">
        <v>292</v>
      </c>
      <c r="J47" s="18" t="n">
        <v>46041.5833333333</v>
      </c>
      <c r="K47" s="19" t="s">
        <v>24</v>
      </c>
      <c r="L47" s="20"/>
    </row>
    <row r="48" customFormat="false" ht="15.75" hidden="false" customHeight="true" outlineLevel="0" collapsed="false">
      <c r="A48" s="43" t="s">
        <v>55</v>
      </c>
      <c r="B48" s="11" t="s">
        <v>141</v>
      </c>
      <c r="C48" s="12" t="s">
        <v>142</v>
      </c>
      <c r="D48" s="13" t="s">
        <v>143</v>
      </c>
      <c r="E48" s="21" t="n">
        <v>127</v>
      </c>
      <c r="F48" s="15" t="s">
        <v>22</v>
      </c>
      <c r="G48" s="12" t="s">
        <v>38</v>
      </c>
      <c r="H48" s="16" t="n">
        <v>342.0024</v>
      </c>
      <c r="I48" s="17" t="n">
        <v>342</v>
      </c>
      <c r="J48" s="18" t="n">
        <v>46000.375</v>
      </c>
      <c r="K48" s="19" t="s">
        <v>24</v>
      </c>
      <c r="L48" s="20"/>
    </row>
    <row r="49" customFormat="false" ht="15.75" hidden="false" customHeight="true" outlineLevel="0" collapsed="false">
      <c r="A49" s="43" t="s">
        <v>55</v>
      </c>
      <c r="B49" s="32" t="s">
        <v>144</v>
      </c>
      <c r="C49" s="33" t="s">
        <v>145</v>
      </c>
      <c r="D49" s="34" t="s">
        <v>146</v>
      </c>
      <c r="E49" s="45" t="n">
        <v>176</v>
      </c>
      <c r="F49" s="36" t="s">
        <v>54</v>
      </c>
      <c r="G49" s="33" t="s">
        <v>23</v>
      </c>
      <c r="H49" s="38" t="n">
        <v>4030.39</v>
      </c>
      <c r="I49" s="39" t="n">
        <v>4030.39</v>
      </c>
      <c r="J49" s="40"/>
      <c r="K49" s="41" t="s">
        <v>24</v>
      </c>
      <c r="L49" s="42"/>
    </row>
    <row r="50" customFormat="false" ht="15.75" hidden="false" customHeight="true" outlineLevel="0" collapsed="false">
      <c r="A50" s="43" t="s">
        <v>55</v>
      </c>
      <c r="B50" s="32" t="s">
        <v>147</v>
      </c>
      <c r="C50" s="33" t="s">
        <v>148</v>
      </c>
      <c r="D50" s="34" t="s">
        <v>149</v>
      </c>
      <c r="E50" s="45" t="n">
        <v>179</v>
      </c>
      <c r="F50" s="36" t="s">
        <v>54</v>
      </c>
      <c r="G50" s="37"/>
      <c r="H50" s="38" t="n">
        <v>3278</v>
      </c>
      <c r="I50" s="39" t="n">
        <v>3278</v>
      </c>
      <c r="J50" s="40"/>
      <c r="K50" s="41" t="s">
        <v>24</v>
      </c>
      <c r="L50" s="42"/>
    </row>
    <row r="51" customFormat="false" ht="15.75" hidden="false" customHeight="true" outlineLevel="0" collapsed="false">
      <c r="A51" s="43" t="s">
        <v>55</v>
      </c>
      <c r="B51" s="32" t="s">
        <v>150</v>
      </c>
      <c r="C51" s="33" t="s">
        <v>151</v>
      </c>
      <c r="D51" s="34" t="s">
        <v>113</v>
      </c>
      <c r="E51" s="45" t="n">
        <v>187</v>
      </c>
      <c r="F51" s="36" t="s">
        <v>54</v>
      </c>
      <c r="G51" s="37"/>
      <c r="H51" s="38" t="n">
        <v>3104</v>
      </c>
      <c r="I51" s="39" t="n">
        <v>3104</v>
      </c>
      <c r="J51" s="40"/>
      <c r="K51" s="41" t="s">
        <v>24</v>
      </c>
      <c r="L51" s="42"/>
    </row>
    <row r="52" customFormat="false" ht="15.75" hidden="false" customHeight="true" outlineLevel="0" collapsed="false">
      <c r="A52" s="43" t="s">
        <v>55</v>
      </c>
      <c r="B52" s="32" t="s">
        <v>152</v>
      </c>
      <c r="C52" s="33" t="s">
        <v>153</v>
      </c>
      <c r="D52" s="34" t="s">
        <v>154</v>
      </c>
      <c r="E52" s="45" t="n">
        <v>238</v>
      </c>
      <c r="F52" s="36" t="s">
        <v>54</v>
      </c>
      <c r="G52" s="33" t="s">
        <v>23</v>
      </c>
      <c r="H52" s="38" t="n">
        <v>2780.003</v>
      </c>
      <c r="I52" s="39" t="n">
        <v>2780</v>
      </c>
      <c r="J52" s="40" t="n">
        <v>45890.3333333333</v>
      </c>
      <c r="K52" s="41" t="s">
        <v>24</v>
      </c>
      <c r="L52" s="42"/>
    </row>
    <row r="53" customFormat="false" ht="15.75" hidden="false" customHeight="true" outlineLevel="0" collapsed="false">
      <c r="A53" s="43" t="s">
        <v>55</v>
      </c>
      <c r="B53" s="32" t="s">
        <v>155</v>
      </c>
      <c r="C53" s="33" t="s">
        <v>156</v>
      </c>
      <c r="D53" s="34" t="s">
        <v>157</v>
      </c>
      <c r="E53" s="45" t="n">
        <v>249</v>
      </c>
      <c r="F53" s="36" t="s">
        <v>54</v>
      </c>
      <c r="G53" s="33" t="s">
        <v>23</v>
      </c>
      <c r="H53" s="38" t="n">
        <v>2360</v>
      </c>
      <c r="I53" s="39" t="n">
        <v>2360</v>
      </c>
      <c r="J53" s="40"/>
      <c r="K53" s="41" t="s">
        <v>24</v>
      </c>
      <c r="L53" s="42"/>
    </row>
    <row r="54" customFormat="false" ht="15.75" hidden="false" customHeight="true" outlineLevel="0" collapsed="false">
      <c r="A54" s="43" t="s">
        <v>55</v>
      </c>
      <c r="B54" s="32" t="s">
        <v>158</v>
      </c>
      <c r="C54" s="33" t="s">
        <v>159</v>
      </c>
      <c r="D54" s="34" t="s">
        <v>160</v>
      </c>
      <c r="E54" s="45" t="n">
        <v>361</v>
      </c>
      <c r="F54" s="36" t="s">
        <v>54</v>
      </c>
      <c r="G54" s="37"/>
      <c r="H54" s="38" t="n">
        <v>1970</v>
      </c>
      <c r="I54" s="39" t="n">
        <v>1970</v>
      </c>
      <c r="J54" s="40"/>
      <c r="K54" s="41" t="s">
        <v>24</v>
      </c>
      <c r="L54" s="42"/>
    </row>
    <row r="55" customFormat="false" ht="15.75" hidden="false" customHeight="true" outlineLevel="0" collapsed="false">
      <c r="A55" s="43" t="s">
        <v>55</v>
      </c>
      <c r="B55" s="32" t="s">
        <v>161</v>
      </c>
      <c r="C55" s="33" t="s">
        <v>162</v>
      </c>
      <c r="D55" s="34" t="s">
        <v>163</v>
      </c>
      <c r="E55" s="45" t="n">
        <v>252</v>
      </c>
      <c r="F55" s="36" t="s">
        <v>54</v>
      </c>
      <c r="G55" s="37"/>
      <c r="H55" s="38" t="n">
        <v>6400</v>
      </c>
      <c r="I55" s="39"/>
      <c r="J55" s="40"/>
      <c r="K55" s="41" t="s">
        <v>24</v>
      </c>
      <c r="L55" s="42"/>
    </row>
    <row r="56" customFormat="false" ht="15.75" hidden="false" customHeight="true" outlineLevel="0" collapsed="false">
      <c r="A56" s="43" t="s">
        <v>55</v>
      </c>
      <c r="B56" s="11" t="s">
        <v>164</v>
      </c>
      <c r="C56" s="12" t="s">
        <v>103</v>
      </c>
      <c r="D56" s="13" t="s">
        <v>104</v>
      </c>
      <c r="E56" s="21" t="n">
        <v>264</v>
      </c>
      <c r="F56" s="15" t="s">
        <v>22</v>
      </c>
      <c r="G56" s="12" t="s">
        <v>38</v>
      </c>
      <c r="H56" s="16" t="n">
        <v>1200</v>
      </c>
      <c r="I56" s="17"/>
      <c r="J56" s="18" t="n">
        <v>45859.2916666667</v>
      </c>
      <c r="K56" s="19" t="s">
        <v>24</v>
      </c>
      <c r="L56" s="20"/>
    </row>
    <row r="57" customFormat="false" ht="15.75" hidden="false" customHeight="true" outlineLevel="0" collapsed="false">
      <c r="A57" s="43" t="s">
        <v>55</v>
      </c>
      <c r="B57" s="11" t="s">
        <v>165</v>
      </c>
      <c r="C57" s="12" t="s">
        <v>166</v>
      </c>
      <c r="D57" s="13" t="s">
        <v>167</v>
      </c>
      <c r="E57" s="14" t="n">
        <v>60</v>
      </c>
      <c r="F57" s="15" t="s">
        <v>22</v>
      </c>
      <c r="G57" s="12" t="s">
        <v>47</v>
      </c>
      <c r="H57" s="16" t="n">
        <v>4947.5221</v>
      </c>
      <c r="I57" s="17" t="n">
        <v>4947.53</v>
      </c>
      <c r="J57" s="18" t="n">
        <v>46084.25</v>
      </c>
      <c r="K57" s="19" t="s">
        <v>24</v>
      </c>
      <c r="L57" s="20"/>
    </row>
    <row r="58" customFormat="false" ht="15.75" hidden="false" customHeight="true" outlineLevel="0" collapsed="false">
      <c r="A58" s="43" t="s">
        <v>55</v>
      </c>
      <c r="B58" s="11" t="s">
        <v>168</v>
      </c>
      <c r="C58" s="12" t="s">
        <v>169</v>
      </c>
      <c r="D58" s="13" t="s">
        <v>170</v>
      </c>
      <c r="E58" s="14" t="n">
        <v>76</v>
      </c>
      <c r="F58" s="15" t="s">
        <v>22</v>
      </c>
      <c r="G58" s="12" t="s">
        <v>23</v>
      </c>
      <c r="H58" s="16" t="n">
        <v>4630.008</v>
      </c>
      <c r="I58" s="17" t="n">
        <v>4630.01</v>
      </c>
      <c r="J58" s="18" t="n">
        <v>46049.4138888889</v>
      </c>
      <c r="K58" s="19" t="s">
        <v>24</v>
      </c>
      <c r="L58" s="20"/>
    </row>
    <row r="59" customFormat="false" ht="15.75" hidden="false" customHeight="true" outlineLevel="0" collapsed="false">
      <c r="A59" s="43" t="s">
        <v>55</v>
      </c>
      <c r="B59" s="22" t="s">
        <v>171</v>
      </c>
      <c r="C59" s="23" t="s">
        <v>172</v>
      </c>
      <c r="D59" s="24" t="s">
        <v>173</v>
      </c>
      <c r="E59" s="46" t="n">
        <v>50</v>
      </c>
      <c r="F59" s="26" t="s">
        <v>22</v>
      </c>
      <c r="G59" s="23" t="s">
        <v>47</v>
      </c>
      <c r="H59" s="27" t="n">
        <v>4568.813</v>
      </c>
      <c r="I59" s="28" t="n">
        <v>4568.8</v>
      </c>
      <c r="J59" s="29" t="n">
        <v>46078.3541666667</v>
      </c>
      <c r="K59" s="30" t="s">
        <v>24</v>
      </c>
      <c r="L59" s="31"/>
    </row>
    <row r="60" customFormat="false" ht="15.75" hidden="false" customHeight="true" outlineLevel="0" collapsed="false">
      <c r="A60" s="43" t="s">
        <v>55</v>
      </c>
      <c r="B60" s="22" t="s">
        <v>174</v>
      </c>
      <c r="C60" s="23" t="s">
        <v>175</v>
      </c>
      <c r="D60" s="24" t="s">
        <v>125</v>
      </c>
      <c r="E60" s="46" t="n">
        <v>62</v>
      </c>
      <c r="F60" s="26" t="s">
        <v>22</v>
      </c>
      <c r="G60" s="23" t="s">
        <v>38</v>
      </c>
      <c r="H60" s="27" t="n">
        <v>3435.009</v>
      </c>
      <c r="I60" s="28" t="n">
        <v>3435.01</v>
      </c>
      <c r="J60" s="29" t="n">
        <v>46077.4479166667</v>
      </c>
      <c r="K60" s="30" t="s">
        <v>24</v>
      </c>
      <c r="L60" s="31"/>
    </row>
    <row r="61" customFormat="false" ht="15.75" hidden="false" customHeight="true" outlineLevel="0" collapsed="false">
      <c r="A61" s="43" t="s">
        <v>55</v>
      </c>
      <c r="B61" s="11" t="s">
        <v>176</v>
      </c>
      <c r="C61" s="12" t="s">
        <v>177</v>
      </c>
      <c r="D61" s="13" t="s">
        <v>178</v>
      </c>
      <c r="E61" s="14" t="n">
        <v>35</v>
      </c>
      <c r="F61" s="15" t="s">
        <v>22</v>
      </c>
      <c r="G61" s="12" t="s">
        <v>23</v>
      </c>
      <c r="H61" s="16" t="n">
        <v>3183.004</v>
      </c>
      <c r="I61" s="17" t="n">
        <v>3183</v>
      </c>
      <c r="J61" s="18" t="n">
        <v>46087.4166666667</v>
      </c>
      <c r="K61" s="19" t="s">
        <v>24</v>
      </c>
      <c r="L61" s="20"/>
    </row>
    <row r="62" customFormat="false" ht="15.75" hidden="false" customHeight="true" outlineLevel="0" collapsed="false">
      <c r="A62" s="43" t="s">
        <v>55</v>
      </c>
      <c r="B62" s="11" t="s">
        <v>179</v>
      </c>
      <c r="C62" s="12" t="s">
        <v>180</v>
      </c>
      <c r="D62" s="13" t="s">
        <v>181</v>
      </c>
      <c r="E62" s="14" t="n">
        <v>55</v>
      </c>
      <c r="F62" s="15" t="s">
        <v>22</v>
      </c>
      <c r="G62" s="12" t="s">
        <v>23</v>
      </c>
      <c r="H62" s="16" t="n">
        <v>3133.2258</v>
      </c>
      <c r="I62" s="17" t="n">
        <v>3133.22</v>
      </c>
      <c r="J62" s="18" t="n">
        <v>46076.25</v>
      </c>
      <c r="K62" s="19" t="s">
        <v>24</v>
      </c>
      <c r="L62" s="20"/>
    </row>
    <row r="63" customFormat="false" ht="15.75" hidden="false" customHeight="true" outlineLevel="0" collapsed="false">
      <c r="A63" s="43" t="s">
        <v>55</v>
      </c>
      <c r="B63" s="11" t="s">
        <v>182</v>
      </c>
      <c r="C63" s="12" t="s">
        <v>183</v>
      </c>
      <c r="D63" s="13" t="s">
        <v>65</v>
      </c>
      <c r="E63" s="14" t="n">
        <v>83</v>
      </c>
      <c r="F63" s="15" t="s">
        <v>22</v>
      </c>
      <c r="G63" s="12" t="s">
        <v>23</v>
      </c>
      <c r="H63" s="16" t="n">
        <v>2431.2052</v>
      </c>
      <c r="I63" s="17" t="n">
        <v>2431.2</v>
      </c>
      <c r="J63" s="18" t="n">
        <v>46055.25</v>
      </c>
      <c r="K63" s="19" t="s">
        <v>24</v>
      </c>
      <c r="L63" s="20"/>
    </row>
    <row r="64" customFormat="false" ht="15.75" hidden="false" customHeight="true" outlineLevel="0" collapsed="false">
      <c r="A64" s="43" t="s">
        <v>55</v>
      </c>
      <c r="B64" s="11" t="s">
        <v>184</v>
      </c>
      <c r="C64" s="12" t="s">
        <v>185</v>
      </c>
      <c r="D64" s="13" t="s">
        <v>149</v>
      </c>
      <c r="E64" s="14" t="n">
        <v>57</v>
      </c>
      <c r="F64" s="15" t="s">
        <v>22</v>
      </c>
      <c r="G64" s="12" t="s">
        <v>23</v>
      </c>
      <c r="H64" s="16" t="n">
        <v>2340</v>
      </c>
      <c r="I64" s="17" t="n">
        <v>2340</v>
      </c>
      <c r="J64" s="18" t="n">
        <v>46080.25</v>
      </c>
      <c r="K64" s="19" t="s">
        <v>24</v>
      </c>
      <c r="L64" s="20"/>
    </row>
    <row r="65" customFormat="false" ht="15.75" hidden="false" customHeight="true" outlineLevel="0" collapsed="false">
      <c r="A65" s="43" t="s">
        <v>55</v>
      </c>
      <c r="B65" s="11" t="s">
        <v>186</v>
      </c>
      <c r="C65" s="12" t="s">
        <v>187</v>
      </c>
      <c r="D65" s="13" t="s">
        <v>188</v>
      </c>
      <c r="E65" s="14" t="n">
        <v>39</v>
      </c>
      <c r="F65" s="15" t="s">
        <v>22</v>
      </c>
      <c r="G65" s="12" t="s">
        <v>189</v>
      </c>
      <c r="H65" s="16" t="n">
        <v>2388.008</v>
      </c>
      <c r="I65" s="17" t="n">
        <v>2388</v>
      </c>
      <c r="J65" s="18" t="n">
        <v>46086.4833333333</v>
      </c>
      <c r="K65" s="19" t="s">
        <v>24</v>
      </c>
      <c r="L65" s="20"/>
    </row>
    <row r="66" customFormat="false" ht="15.75" hidden="false" customHeight="true" outlineLevel="0" collapsed="false">
      <c r="A66" s="43" t="s">
        <v>55</v>
      </c>
      <c r="B66" s="11" t="s">
        <v>190</v>
      </c>
      <c r="C66" s="12" t="s">
        <v>191</v>
      </c>
      <c r="D66" s="13" t="s">
        <v>125</v>
      </c>
      <c r="E66" s="47" t="n">
        <v>28</v>
      </c>
      <c r="F66" s="15" t="s">
        <v>22</v>
      </c>
      <c r="G66" s="12" t="s">
        <v>23</v>
      </c>
      <c r="H66" s="16" t="n">
        <v>7392.3055</v>
      </c>
      <c r="I66" s="17" t="n">
        <v>7392.3</v>
      </c>
      <c r="J66" s="18" t="n">
        <v>46107.2923611111</v>
      </c>
      <c r="K66" s="19" t="s">
        <v>24</v>
      </c>
      <c r="L66" s="20"/>
    </row>
    <row r="67" customFormat="false" ht="15.75" hidden="false" customHeight="true" outlineLevel="0" collapsed="false">
      <c r="A67" s="43" t="s">
        <v>55</v>
      </c>
      <c r="B67" s="11" t="s">
        <v>192</v>
      </c>
      <c r="C67" s="12" t="s">
        <v>193</v>
      </c>
      <c r="D67" s="13" t="s">
        <v>194</v>
      </c>
      <c r="E67" s="14" t="n">
        <v>48</v>
      </c>
      <c r="F67" s="15" t="s">
        <v>22</v>
      </c>
      <c r="G67" s="12" t="s">
        <v>38</v>
      </c>
      <c r="H67" s="16" t="n">
        <v>2425.8222</v>
      </c>
      <c r="I67" s="17" t="n">
        <v>2425.82</v>
      </c>
      <c r="J67" s="18" t="n">
        <v>46099.25</v>
      </c>
      <c r="K67" s="19" t="s">
        <v>24</v>
      </c>
      <c r="L67" s="20"/>
    </row>
    <row r="68" customFormat="false" ht="15.75" hidden="false" customHeight="true" outlineLevel="0" collapsed="false">
      <c r="A68" s="43" t="s">
        <v>55</v>
      </c>
      <c r="B68" s="11" t="s">
        <v>195</v>
      </c>
      <c r="C68" s="12" t="s">
        <v>185</v>
      </c>
      <c r="D68" s="13" t="s">
        <v>149</v>
      </c>
      <c r="E68" s="14" t="n">
        <v>57</v>
      </c>
      <c r="F68" s="15" t="s">
        <v>22</v>
      </c>
      <c r="G68" s="12" t="s">
        <v>38</v>
      </c>
      <c r="H68" s="16" t="n">
        <v>2050.005</v>
      </c>
      <c r="I68" s="17" t="n">
        <v>2050</v>
      </c>
      <c r="J68" s="18" t="n">
        <v>46070.25</v>
      </c>
      <c r="K68" s="19" t="s">
        <v>24</v>
      </c>
      <c r="L68" s="20"/>
    </row>
    <row r="69" customFormat="false" ht="15.75" hidden="false" customHeight="true" outlineLevel="0" collapsed="false">
      <c r="A69" s="43" t="s">
        <v>55</v>
      </c>
      <c r="B69" s="22" t="s">
        <v>196</v>
      </c>
      <c r="C69" s="23" t="s">
        <v>197</v>
      </c>
      <c r="D69" s="24" t="s">
        <v>198</v>
      </c>
      <c r="E69" s="46" t="n">
        <v>74</v>
      </c>
      <c r="F69" s="26" t="s">
        <v>22</v>
      </c>
      <c r="G69" s="23" t="s">
        <v>23</v>
      </c>
      <c r="H69" s="27" t="n">
        <v>2069.927</v>
      </c>
      <c r="I69" s="28" t="n">
        <v>2069.93</v>
      </c>
      <c r="J69" s="29" t="n">
        <v>46058.3944444444</v>
      </c>
      <c r="K69" s="30" t="s">
        <v>24</v>
      </c>
      <c r="L69" s="31"/>
    </row>
    <row r="70" customFormat="false" ht="15.75" hidden="false" customHeight="true" outlineLevel="0" collapsed="false">
      <c r="A70" s="43" t="s">
        <v>55</v>
      </c>
      <c r="B70" s="11" t="s">
        <v>199</v>
      </c>
      <c r="C70" s="12" t="s">
        <v>200</v>
      </c>
      <c r="D70" s="13" t="s">
        <v>65</v>
      </c>
      <c r="E70" s="14" t="n">
        <v>83</v>
      </c>
      <c r="F70" s="15" t="s">
        <v>22</v>
      </c>
      <c r="G70" s="12" t="s">
        <v>47</v>
      </c>
      <c r="H70" s="16" t="n">
        <v>1560.006</v>
      </c>
      <c r="I70" s="17" t="n">
        <v>1560.01</v>
      </c>
      <c r="J70" s="18" t="n">
        <v>46055.4166666667</v>
      </c>
      <c r="K70" s="19" t="s">
        <v>24</v>
      </c>
      <c r="L70" s="20"/>
    </row>
    <row r="71" customFormat="false" ht="15.75" hidden="false" customHeight="true" outlineLevel="0" collapsed="false">
      <c r="A71" s="43" t="s">
        <v>55</v>
      </c>
      <c r="B71" s="11" t="s">
        <v>201</v>
      </c>
      <c r="C71" s="12" t="s">
        <v>202</v>
      </c>
      <c r="D71" s="13" t="s">
        <v>203</v>
      </c>
      <c r="E71" s="14" t="n">
        <v>69</v>
      </c>
      <c r="F71" s="15" t="s">
        <v>22</v>
      </c>
      <c r="G71" s="12" t="s">
        <v>23</v>
      </c>
      <c r="H71" s="16" t="n">
        <v>1315.8271</v>
      </c>
      <c r="I71" s="17" t="n">
        <v>1315.83</v>
      </c>
      <c r="J71" s="18" t="n">
        <v>46056.55625</v>
      </c>
      <c r="K71" s="19" t="s">
        <v>24</v>
      </c>
      <c r="L71" s="20"/>
    </row>
    <row r="72" customFormat="false" ht="15.75" hidden="false" customHeight="true" outlineLevel="0" collapsed="false">
      <c r="A72" s="43" t="s">
        <v>55</v>
      </c>
      <c r="B72" s="22" t="s">
        <v>204</v>
      </c>
      <c r="C72" s="23" t="s">
        <v>205</v>
      </c>
      <c r="D72" s="24" t="s">
        <v>206</v>
      </c>
      <c r="E72" s="46" t="n">
        <v>41</v>
      </c>
      <c r="F72" s="26" t="s">
        <v>22</v>
      </c>
      <c r="G72" s="23" t="s">
        <v>38</v>
      </c>
      <c r="H72" s="27" t="n">
        <v>1040.004</v>
      </c>
      <c r="I72" s="28" t="n">
        <v>1040</v>
      </c>
      <c r="J72" s="29" t="n">
        <v>46093.25</v>
      </c>
      <c r="K72" s="30" t="s">
        <v>24</v>
      </c>
      <c r="L72" s="31"/>
    </row>
    <row r="73" customFormat="false" ht="15.75" hidden="false" customHeight="true" outlineLevel="0" collapsed="false">
      <c r="A73" s="43" t="s">
        <v>55</v>
      </c>
      <c r="B73" s="11" t="s">
        <v>207</v>
      </c>
      <c r="C73" s="12" t="s">
        <v>208</v>
      </c>
      <c r="D73" s="13" t="s">
        <v>209</v>
      </c>
      <c r="E73" s="14" t="n">
        <v>36</v>
      </c>
      <c r="F73" s="15" t="s">
        <v>22</v>
      </c>
      <c r="G73" s="12" t="s">
        <v>38</v>
      </c>
      <c r="H73" s="16" t="n">
        <v>1040</v>
      </c>
      <c r="I73" s="17" t="n">
        <v>1040</v>
      </c>
      <c r="J73" s="18" t="n">
        <v>46090.25</v>
      </c>
      <c r="K73" s="19" t="s">
        <v>24</v>
      </c>
      <c r="L73" s="20"/>
    </row>
    <row r="74" customFormat="false" ht="15.75" hidden="false" customHeight="true" outlineLevel="0" collapsed="false">
      <c r="A74" s="43" t="s">
        <v>55</v>
      </c>
      <c r="B74" s="22" t="s">
        <v>210</v>
      </c>
      <c r="C74" s="23" t="s">
        <v>211</v>
      </c>
      <c r="D74" s="24" t="s">
        <v>125</v>
      </c>
      <c r="E74" s="46" t="n">
        <v>43</v>
      </c>
      <c r="F74" s="26" t="s">
        <v>22</v>
      </c>
      <c r="G74" s="23" t="s">
        <v>38</v>
      </c>
      <c r="H74" s="27" t="n">
        <v>650</v>
      </c>
      <c r="I74" s="28" t="n">
        <v>650</v>
      </c>
      <c r="J74" s="29" t="n">
        <v>46077.4583333333</v>
      </c>
      <c r="K74" s="30" t="s">
        <v>24</v>
      </c>
      <c r="L74" s="31"/>
    </row>
    <row r="75" customFormat="false" ht="15.75" hidden="false" customHeight="true" outlineLevel="0" collapsed="false">
      <c r="A75" s="43" t="s">
        <v>55</v>
      </c>
      <c r="B75" s="11" t="s">
        <v>212</v>
      </c>
      <c r="C75" s="12" t="s">
        <v>213</v>
      </c>
      <c r="D75" s="13" t="s">
        <v>82</v>
      </c>
      <c r="E75" s="14" t="n">
        <v>33</v>
      </c>
      <c r="F75" s="15" t="s">
        <v>22</v>
      </c>
      <c r="G75" s="12" t="s">
        <v>47</v>
      </c>
      <c r="H75" s="16" t="n">
        <v>520.002</v>
      </c>
      <c r="I75" s="17" t="n">
        <v>520</v>
      </c>
      <c r="J75" s="18" t="n">
        <v>46122.4583333333</v>
      </c>
      <c r="K75" s="19" t="s">
        <v>24</v>
      </c>
      <c r="L75" s="20"/>
    </row>
    <row r="76" customFormat="false" ht="15.75" hidden="false" customHeight="true" outlineLevel="0" collapsed="false">
      <c r="A76" s="43" t="s">
        <v>55</v>
      </c>
      <c r="B76" s="32" t="s">
        <v>214</v>
      </c>
      <c r="C76" s="33" t="s">
        <v>215</v>
      </c>
      <c r="D76" s="34" t="s">
        <v>216</v>
      </c>
      <c r="E76" s="48" t="n">
        <v>12</v>
      </c>
      <c r="F76" s="36" t="s">
        <v>54</v>
      </c>
      <c r="G76" s="37"/>
      <c r="H76" s="38" t="n">
        <v>9692</v>
      </c>
      <c r="I76" s="39" t="n">
        <v>9692</v>
      </c>
      <c r="J76" s="40"/>
      <c r="K76" s="41" t="s">
        <v>24</v>
      </c>
      <c r="L76" s="42"/>
    </row>
    <row r="77" customFormat="false" ht="15.75" hidden="false" customHeight="true" outlineLevel="0" collapsed="false">
      <c r="A77" s="43" t="s">
        <v>55</v>
      </c>
      <c r="B77" s="49" t="s">
        <v>217</v>
      </c>
      <c r="C77" s="50" t="s">
        <v>218</v>
      </c>
      <c r="D77" s="51" t="s">
        <v>94</v>
      </c>
      <c r="E77" s="52" t="n">
        <v>106</v>
      </c>
      <c r="F77" s="53" t="s">
        <v>219</v>
      </c>
      <c r="G77" s="54"/>
      <c r="H77" s="55" t="n">
        <v>7976.342</v>
      </c>
      <c r="I77" s="56" t="n">
        <v>7976.34</v>
      </c>
      <c r="J77" s="57" t="n">
        <v>46031.25</v>
      </c>
      <c r="K77" s="58" t="s">
        <v>24</v>
      </c>
      <c r="L77" s="59"/>
    </row>
    <row r="78" customFormat="false" ht="15.75" hidden="false" customHeight="true" outlineLevel="0" collapsed="false">
      <c r="A78" s="43" t="s">
        <v>55</v>
      </c>
      <c r="B78" s="49" t="s">
        <v>220</v>
      </c>
      <c r="C78" s="50" t="s">
        <v>221</v>
      </c>
      <c r="D78" s="51" t="s">
        <v>222</v>
      </c>
      <c r="E78" s="52" t="n">
        <v>154</v>
      </c>
      <c r="F78" s="53" t="s">
        <v>219</v>
      </c>
      <c r="G78" s="50" t="s">
        <v>23</v>
      </c>
      <c r="H78" s="55" t="n">
        <v>7796</v>
      </c>
      <c r="I78" s="56" t="n">
        <v>7796</v>
      </c>
      <c r="J78" s="57" t="n">
        <v>46290.25</v>
      </c>
      <c r="K78" s="58" t="s">
        <v>24</v>
      </c>
      <c r="L78" s="59"/>
    </row>
    <row r="79" customFormat="false" ht="15.75" hidden="false" customHeight="true" outlineLevel="0" collapsed="false">
      <c r="A79" s="43" t="s">
        <v>55</v>
      </c>
      <c r="B79" s="49" t="s">
        <v>223</v>
      </c>
      <c r="C79" s="50" t="s">
        <v>224</v>
      </c>
      <c r="D79" s="51" t="s">
        <v>225</v>
      </c>
      <c r="E79" s="52" t="n">
        <v>326</v>
      </c>
      <c r="F79" s="53" t="s">
        <v>219</v>
      </c>
      <c r="G79" s="54"/>
      <c r="H79" s="55" t="n">
        <v>7105.15</v>
      </c>
      <c r="I79" s="56" t="n">
        <v>7105.15</v>
      </c>
      <c r="J79" s="57" t="n">
        <v>46097.25</v>
      </c>
      <c r="K79" s="58" t="s">
        <v>24</v>
      </c>
      <c r="L79" s="59"/>
    </row>
    <row r="80" customFormat="false" ht="15.75" hidden="false" customHeight="true" outlineLevel="0" collapsed="false">
      <c r="A80" s="43" t="s">
        <v>55</v>
      </c>
      <c r="B80" s="11" t="s">
        <v>226</v>
      </c>
      <c r="C80" s="12" t="s">
        <v>227</v>
      </c>
      <c r="D80" s="13" t="s">
        <v>228</v>
      </c>
      <c r="E80" s="47" t="n">
        <v>-1</v>
      </c>
      <c r="F80" s="15" t="s">
        <v>22</v>
      </c>
      <c r="G80" s="12" t="s">
        <v>23</v>
      </c>
      <c r="H80" s="16" t="n">
        <v>1660</v>
      </c>
      <c r="I80" s="17" t="n">
        <v>1660</v>
      </c>
      <c r="J80" s="18" t="n">
        <v>46121.2916666667</v>
      </c>
      <c r="K80" s="19" t="s">
        <v>24</v>
      </c>
      <c r="L80" s="20"/>
    </row>
    <row r="81" customFormat="false" ht="15.75" hidden="false" customHeight="true" outlineLevel="0" collapsed="false">
      <c r="A81" s="43" t="s">
        <v>55</v>
      </c>
      <c r="B81" s="11" t="s">
        <v>229</v>
      </c>
      <c r="C81" s="12" t="s">
        <v>230</v>
      </c>
      <c r="D81" s="13" t="s">
        <v>21</v>
      </c>
      <c r="E81" s="47" t="n">
        <v>14</v>
      </c>
      <c r="F81" s="15" t="s">
        <v>22</v>
      </c>
      <c r="G81" s="12" t="s">
        <v>23</v>
      </c>
      <c r="H81" s="16" t="n">
        <v>1040.004</v>
      </c>
      <c r="I81" s="17" t="n">
        <v>1040</v>
      </c>
      <c r="J81" s="18" t="n">
        <v>46126.25</v>
      </c>
      <c r="K81" s="19" t="s">
        <v>24</v>
      </c>
      <c r="L81" s="20"/>
    </row>
    <row r="82" customFormat="false" ht="15.75" hidden="false" customHeight="true" outlineLevel="0" collapsed="false">
      <c r="A82" s="43" t="s">
        <v>55</v>
      </c>
      <c r="B82" s="49" t="s">
        <v>231</v>
      </c>
      <c r="C82" s="50" t="s">
        <v>232</v>
      </c>
      <c r="D82" s="51" t="s">
        <v>203</v>
      </c>
      <c r="E82" s="52" t="n">
        <v>322</v>
      </c>
      <c r="F82" s="53" t="s">
        <v>219</v>
      </c>
      <c r="G82" s="54"/>
      <c r="H82" s="55" t="n">
        <v>5980</v>
      </c>
      <c r="I82" s="56" t="n">
        <v>5980</v>
      </c>
      <c r="J82" s="57" t="n">
        <v>45833.28125</v>
      </c>
      <c r="K82" s="58" t="s">
        <v>24</v>
      </c>
      <c r="L82" s="59"/>
    </row>
    <row r="83" customFormat="false" ht="15.75" hidden="false" customHeight="true" outlineLevel="0" collapsed="false">
      <c r="A83" s="43" t="s">
        <v>55</v>
      </c>
      <c r="B83" s="49" t="s">
        <v>233</v>
      </c>
      <c r="C83" s="50" t="s">
        <v>234</v>
      </c>
      <c r="D83" s="51" t="s">
        <v>125</v>
      </c>
      <c r="E83" s="52" t="n">
        <v>125</v>
      </c>
      <c r="F83" s="53" t="s">
        <v>219</v>
      </c>
      <c r="G83" s="54"/>
      <c r="H83" s="55" t="n">
        <v>5786.554</v>
      </c>
      <c r="I83" s="56" t="n">
        <v>5786.55</v>
      </c>
      <c r="J83" s="57" t="n">
        <v>46001.4166666667</v>
      </c>
      <c r="K83" s="58" t="s">
        <v>24</v>
      </c>
      <c r="L83" s="59"/>
    </row>
    <row r="84" customFormat="false" ht="15.75" hidden="false" customHeight="true" outlineLevel="0" collapsed="false">
      <c r="A84" s="43" t="s">
        <v>55</v>
      </c>
      <c r="B84" s="32" t="s">
        <v>235</v>
      </c>
      <c r="C84" s="33" t="s">
        <v>236</v>
      </c>
      <c r="D84" s="34" t="s">
        <v>237</v>
      </c>
      <c r="E84" s="35" t="n">
        <v>82</v>
      </c>
      <c r="F84" s="36" t="s">
        <v>54</v>
      </c>
      <c r="G84" s="37"/>
      <c r="H84" s="38" t="n">
        <v>650.0025</v>
      </c>
      <c r="I84" s="39" t="n">
        <v>650</v>
      </c>
      <c r="J84" s="40"/>
      <c r="K84" s="41" t="s">
        <v>24</v>
      </c>
      <c r="L84" s="42"/>
    </row>
    <row r="85" customFormat="false" ht="15.75" hidden="false" customHeight="true" outlineLevel="0" collapsed="false">
      <c r="A85" s="43" t="s">
        <v>55</v>
      </c>
      <c r="B85" s="22" t="s">
        <v>238</v>
      </c>
      <c r="C85" s="23" t="s">
        <v>239</v>
      </c>
      <c r="D85" s="24" t="s">
        <v>240</v>
      </c>
      <c r="E85" s="60" t="n">
        <v>13</v>
      </c>
      <c r="F85" s="26" t="s">
        <v>22</v>
      </c>
      <c r="G85" s="23" t="s">
        <v>23</v>
      </c>
      <c r="H85" s="27" t="n">
        <v>590</v>
      </c>
      <c r="I85" s="28" t="n">
        <v>590</v>
      </c>
      <c r="J85" s="29" t="n">
        <v>46106.4791666667</v>
      </c>
      <c r="K85" s="30" t="s">
        <v>24</v>
      </c>
      <c r="L85" s="31"/>
    </row>
    <row r="86" customFormat="false" ht="15.75" hidden="false" customHeight="true" outlineLevel="0" collapsed="false">
      <c r="A86" s="43" t="s">
        <v>55</v>
      </c>
      <c r="B86" s="22" t="s">
        <v>241</v>
      </c>
      <c r="C86" s="23" t="s">
        <v>239</v>
      </c>
      <c r="D86" s="24" t="s">
        <v>240</v>
      </c>
      <c r="E86" s="60" t="n">
        <v>13</v>
      </c>
      <c r="F86" s="26" t="s">
        <v>22</v>
      </c>
      <c r="G86" s="23" t="s">
        <v>23</v>
      </c>
      <c r="H86" s="27" t="n">
        <v>520</v>
      </c>
      <c r="I86" s="28" t="n">
        <v>520</v>
      </c>
      <c r="J86" s="29" t="n">
        <v>46106.3125</v>
      </c>
      <c r="K86" s="30" t="s">
        <v>24</v>
      </c>
      <c r="L86" s="31"/>
    </row>
    <row r="87" customFormat="false" ht="15.75" hidden="false" customHeight="true" outlineLevel="0" collapsed="false">
      <c r="A87" s="43" t="s">
        <v>55</v>
      </c>
      <c r="B87" s="32" t="s">
        <v>242</v>
      </c>
      <c r="C87" s="33" t="s">
        <v>243</v>
      </c>
      <c r="D87" s="34" t="s">
        <v>125</v>
      </c>
      <c r="E87" s="48" t="n">
        <v>-1</v>
      </c>
      <c r="F87" s="36" t="s">
        <v>54</v>
      </c>
      <c r="G87" s="37"/>
      <c r="H87" s="38" t="n">
        <v>4972</v>
      </c>
      <c r="I87" s="39" t="n">
        <v>4972</v>
      </c>
      <c r="J87" s="40"/>
      <c r="K87" s="41" t="s">
        <v>24</v>
      </c>
      <c r="L87" s="42"/>
    </row>
    <row r="88" customFormat="false" ht="15.75" hidden="false" customHeight="true" outlineLevel="0" collapsed="false">
      <c r="A88" s="61" t="s">
        <v>244</v>
      </c>
      <c r="B88" s="32" t="s">
        <v>245</v>
      </c>
      <c r="C88" s="33" t="s">
        <v>239</v>
      </c>
      <c r="D88" s="34" t="s">
        <v>240</v>
      </c>
      <c r="E88" s="48" t="n">
        <v>-1</v>
      </c>
      <c r="F88" s="36" t="s">
        <v>54</v>
      </c>
      <c r="G88" s="37"/>
      <c r="H88" s="38" t="n">
        <v>4575.2</v>
      </c>
      <c r="I88" s="39" t="n">
        <v>4575.2</v>
      </c>
      <c r="J88" s="40"/>
      <c r="K88" s="41" t="s">
        <v>24</v>
      </c>
      <c r="L88" s="42"/>
    </row>
    <row r="89" customFormat="false" ht="15.75" hidden="false" customHeight="true" outlineLevel="0" collapsed="false">
      <c r="A89" s="61" t="s">
        <v>244</v>
      </c>
      <c r="B89" s="49" t="s">
        <v>246</v>
      </c>
      <c r="C89" s="50" t="s">
        <v>247</v>
      </c>
      <c r="D89" s="51" t="s">
        <v>248</v>
      </c>
      <c r="E89" s="52" t="n">
        <v>364</v>
      </c>
      <c r="F89" s="53" t="s">
        <v>219</v>
      </c>
      <c r="G89" s="50" t="s">
        <v>47</v>
      </c>
      <c r="H89" s="55" t="n">
        <v>4195.004</v>
      </c>
      <c r="I89" s="56" t="n">
        <v>4195</v>
      </c>
      <c r="J89" s="57" t="n">
        <v>45919.375</v>
      </c>
      <c r="K89" s="58" t="s">
        <v>24</v>
      </c>
      <c r="L89" s="59"/>
    </row>
    <row r="90" customFormat="false" ht="15.75" hidden="false" customHeight="true" outlineLevel="0" collapsed="false">
      <c r="A90" s="61" t="s">
        <v>244</v>
      </c>
      <c r="B90" s="32" t="s">
        <v>249</v>
      </c>
      <c r="C90" s="33" t="s">
        <v>250</v>
      </c>
      <c r="D90" s="34" t="s">
        <v>125</v>
      </c>
      <c r="E90" s="48" t="n">
        <v>14</v>
      </c>
      <c r="F90" s="36" t="s">
        <v>54</v>
      </c>
      <c r="G90" s="37"/>
      <c r="H90" s="38" t="n">
        <v>3900</v>
      </c>
      <c r="I90" s="39" t="n">
        <v>3900</v>
      </c>
      <c r="J90" s="40"/>
      <c r="K90" s="41" t="s">
        <v>24</v>
      </c>
      <c r="L90" s="42"/>
    </row>
    <row r="91" customFormat="false" ht="15.75" hidden="false" customHeight="true" outlineLevel="0" collapsed="false">
      <c r="A91" s="61" t="s">
        <v>244</v>
      </c>
      <c r="B91" s="32" t="s">
        <v>251</v>
      </c>
      <c r="C91" s="33" t="s">
        <v>252</v>
      </c>
      <c r="D91" s="34" t="s">
        <v>253</v>
      </c>
      <c r="E91" s="48" t="n">
        <v>21</v>
      </c>
      <c r="F91" s="36" t="s">
        <v>54</v>
      </c>
      <c r="G91" s="37"/>
      <c r="H91" s="38" t="n">
        <v>3700.006</v>
      </c>
      <c r="I91" s="39" t="n">
        <v>3700.01</v>
      </c>
      <c r="J91" s="40"/>
      <c r="K91" s="41" t="s">
        <v>24</v>
      </c>
      <c r="L91" s="42"/>
    </row>
    <row r="92" customFormat="false" ht="15.75" hidden="false" customHeight="true" outlineLevel="0" collapsed="false">
      <c r="A92" s="61" t="s">
        <v>244</v>
      </c>
      <c r="B92" s="32" t="s">
        <v>254</v>
      </c>
      <c r="C92" s="33" t="s">
        <v>103</v>
      </c>
      <c r="D92" s="34" t="s">
        <v>104</v>
      </c>
      <c r="E92" s="48" t="n">
        <v>5</v>
      </c>
      <c r="F92" s="36" t="s">
        <v>54</v>
      </c>
      <c r="G92" s="37"/>
      <c r="H92" s="38" t="n">
        <v>3585.008</v>
      </c>
      <c r="I92" s="39" t="n">
        <v>3585.01</v>
      </c>
      <c r="J92" s="40"/>
      <c r="K92" s="41" t="s">
        <v>24</v>
      </c>
      <c r="L92" s="42"/>
    </row>
    <row r="93" customFormat="false" ht="15.75" hidden="false" customHeight="true" outlineLevel="0" collapsed="false">
      <c r="A93" s="61" t="s">
        <v>244</v>
      </c>
      <c r="B93" s="49" t="s">
        <v>255</v>
      </c>
      <c r="C93" s="50" t="s">
        <v>256</v>
      </c>
      <c r="D93" s="51" t="s">
        <v>125</v>
      </c>
      <c r="E93" s="52" t="n">
        <v>99</v>
      </c>
      <c r="F93" s="53" t="s">
        <v>219</v>
      </c>
      <c r="G93" s="50" t="s">
        <v>23</v>
      </c>
      <c r="H93" s="55" t="n">
        <v>3555.9162</v>
      </c>
      <c r="I93" s="56" t="n">
        <v>3555.91</v>
      </c>
      <c r="J93" s="57" t="n">
        <v>46043.4166666667</v>
      </c>
      <c r="K93" s="58" t="s">
        <v>24</v>
      </c>
      <c r="L93" s="59"/>
    </row>
    <row r="94" customFormat="false" ht="15.75" hidden="false" customHeight="true" outlineLevel="0" collapsed="false">
      <c r="A94" s="61" t="s">
        <v>244</v>
      </c>
      <c r="B94" s="49" t="s">
        <v>257</v>
      </c>
      <c r="C94" s="50" t="s">
        <v>258</v>
      </c>
      <c r="D94" s="51" t="s">
        <v>259</v>
      </c>
      <c r="E94" s="52" t="n">
        <v>495</v>
      </c>
      <c r="F94" s="53" t="s">
        <v>219</v>
      </c>
      <c r="G94" s="54"/>
      <c r="H94" s="55" t="n">
        <v>3000</v>
      </c>
      <c r="I94" s="56" t="n">
        <v>3000</v>
      </c>
      <c r="J94" s="57" t="n">
        <v>45835.2916666667</v>
      </c>
      <c r="K94" s="58" t="s">
        <v>24</v>
      </c>
      <c r="L94" s="59"/>
    </row>
    <row r="95" customFormat="false" ht="15.75" hidden="false" customHeight="true" outlineLevel="0" collapsed="false">
      <c r="A95" s="61" t="s">
        <v>244</v>
      </c>
      <c r="B95" s="49" t="s">
        <v>260</v>
      </c>
      <c r="C95" s="50" t="s">
        <v>133</v>
      </c>
      <c r="D95" s="51" t="s">
        <v>134</v>
      </c>
      <c r="E95" s="52" t="n">
        <v>147</v>
      </c>
      <c r="F95" s="53" t="s">
        <v>219</v>
      </c>
      <c r="G95" s="50" t="s">
        <v>99</v>
      </c>
      <c r="H95" s="55" t="n">
        <v>2554.432</v>
      </c>
      <c r="I95" s="56" t="n">
        <v>2554.43</v>
      </c>
      <c r="J95" s="57" t="n">
        <v>45988.5</v>
      </c>
      <c r="K95" s="58" t="s">
        <v>24</v>
      </c>
      <c r="L95" s="59"/>
    </row>
    <row r="96" customFormat="false" ht="15.75" hidden="false" customHeight="true" outlineLevel="0" collapsed="false">
      <c r="A96" s="61" t="s">
        <v>244</v>
      </c>
      <c r="B96" s="32" t="s">
        <v>261</v>
      </c>
      <c r="C96" s="33" t="s">
        <v>127</v>
      </c>
      <c r="D96" s="34" t="s">
        <v>125</v>
      </c>
      <c r="E96" s="48" t="n">
        <v>-1</v>
      </c>
      <c r="F96" s="36" t="s">
        <v>54</v>
      </c>
      <c r="G96" s="37"/>
      <c r="H96" s="38" t="n">
        <v>2390</v>
      </c>
      <c r="I96" s="39" t="n">
        <v>2390</v>
      </c>
      <c r="J96" s="40"/>
      <c r="K96" s="41" t="s">
        <v>24</v>
      </c>
      <c r="L96" s="42"/>
    </row>
    <row r="97" customFormat="false" ht="15.75" hidden="false" customHeight="true" outlineLevel="0" collapsed="false">
      <c r="A97" s="61" t="s">
        <v>244</v>
      </c>
      <c r="B97" s="32" t="s">
        <v>262</v>
      </c>
      <c r="C97" s="33" t="s">
        <v>263</v>
      </c>
      <c r="D97" s="34" t="s">
        <v>264</v>
      </c>
      <c r="E97" s="48" t="n">
        <v>0</v>
      </c>
      <c r="F97" s="36" t="s">
        <v>54</v>
      </c>
      <c r="G97" s="37"/>
      <c r="H97" s="38" t="n">
        <v>2380.003</v>
      </c>
      <c r="I97" s="39" t="n">
        <v>2380</v>
      </c>
      <c r="J97" s="40"/>
      <c r="K97" s="62" t="s">
        <v>66</v>
      </c>
      <c r="L97" s="42"/>
    </row>
    <row r="98" customFormat="false" ht="15.75" hidden="false" customHeight="true" outlineLevel="0" collapsed="false">
      <c r="A98" s="61" t="s">
        <v>244</v>
      </c>
      <c r="B98" s="49" t="s">
        <v>265</v>
      </c>
      <c r="C98" s="50" t="s">
        <v>266</v>
      </c>
      <c r="D98" s="51" t="s">
        <v>267</v>
      </c>
      <c r="E98" s="52" t="n">
        <v>138</v>
      </c>
      <c r="F98" s="53" t="s">
        <v>219</v>
      </c>
      <c r="G98" s="54"/>
      <c r="H98" s="55" t="n">
        <v>2335.608</v>
      </c>
      <c r="I98" s="56" t="n">
        <v>2335.61</v>
      </c>
      <c r="J98" s="57" t="n">
        <v>45999.25</v>
      </c>
      <c r="K98" s="58" t="s">
        <v>24</v>
      </c>
      <c r="L98" s="59"/>
    </row>
    <row r="99" customFormat="false" ht="15.75" hidden="false" customHeight="true" outlineLevel="0" collapsed="false">
      <c r="A99" s="61" t="s">
        <v>244</v>
      </c>
      <c r="B99" s="49" t="s">
        <v>268</v>
      </c>
      <c r="C99" s="50" t="s">
        <v>20</v>
      </c>
      <c r="D99" s="51" t="s">
        <v>78</v>
      </c>
      <c r="E99" s="52" t="n">
        <v>204</v>
      </c>
      <c r="F99" s="53" t="s">
        <v>219</v>
      </c>
      <c r="G99" s="54"/>
      <c r="H99" s="55" t="n">
        <v>2267.884</v>
      </c>
      <c r="I99" s="56" t="n">
        <v>2267.88</v>
      </c>
      <c r="J99" s="57" t="n">
        <v>45925.2916666667</v>
      </c>
      <c r="K99" s="58" t="s">
        <v>24</v>
      </c>
      <c r="L99" s="59"/>
    </row>
    <row r="100" customFormat="false" ht="15.75" hidden="false" customHeight="true" outlineLevel="0" collapsed="false">
      <c r="A100" s="61" t="s">
        <v>244</v>
      </c>
      <c r="B100" s="63" t="s">
        <v>269</v>
      </c>
      <c r="C100" s="64" t="s">
        <v>270</v>
      </c>
      <c r="D100" s="65" t="s">
        <v>113</v>
      </c>
      <c r="E100" s="66" t="n">
        <v>35</v>
      </c>
      <c r="F100" s="67" t="s">
        <v>271</v>
      </c>
      <c r="G100" s="64" t="s">
        <v>47</v>
      </c>
      <c r="H100" s="68" t="n">
        <v>1740</v>
      </c>
      <c r="I100" s="69" t="n">
        <v>1160</v>
      </c>
      <c r="J100" s="70" t="n">
        <v>46102.3333333333</v>
      </c>
      <c r="K100" s="71" t="s">
        <v>24</v>
      </c>
      <c r="L100" s="72"/>
    </row>
    <row r="101" customFormat="false" ht="15.75" hidden="false" customHeight="true" outlineLevel="0" collapsed="false">
      <c r="A101" s="61" t="s">
        <v>244</v>
      </c>
      <c r="B101" s="49" t="s">
        <v>272</v>
      </c>
      <c r="C101" s="50" t="s">
        <v>273</v>
      </c>
      <c r="D101" s="51" t="s">
        <v>274</v>
      </c>
      <c r="E101" s="52" t="n">
        <v>257</v>
      </c>
      <c r="F101" s="53" t="s">
        <v>219</v>
      </c>
      <c r="G101" s="50" t="s">
        <v>23</v>
      </c>
      <c r="H101" s="55" t="n">
        <v>1630</v>
      </c>
      <c r="I101" s="56" t="n">
        <v>1630</v>
      </c>
      <c r="J101" s="57" t="n">
        <v>45985.375</v>
      </c>
      <c r="K101" s="58" t="s">
        <v>24</v>
      </c>
      <c r="L101" s="59"/>
    </row>
    <row r="102" customFormat="false" ht="15.75" hidden="false" customHeight="true" outlineLevel="0" collapsed="false">
      <c r="A102" s="61" t="s">
        <v>244</v>
      </c>
      <c r="B102" s="49" t="s">
        <v>275</v>
      </c>
      <c r="C102" s="50" t="s">
        <v>276</v>
      </c>
      <c r="D102" s="51" t="s">
        <v>277</v>
      </c>
      <c r="E102" s="52" t="n">
        <v>200</v>
      </c>
      <c r="F102" s="53" t="s">
        <v>219</v>
      </c>
      <c r="G102" s="54"/>
      <c r="H102" s="55" t="n">
        <v>1560</v>
      </c>
      <c r="I102" s="56" t="n">
        <v>1560</v>
      </c>
      <c r="J102" s="57" t="n">
        <v>45944.5833333333</v>
      </c>
      <c r="K102" s="58" t="s">
        <v>24</v>
      </c>
      <c r="L102" s="59"/>
    </row>
    <row r="103" customFormat="false" ht="15.75" hidden="false" customHeight="true" outlineLevel="0" collapsed="false">
      <c r="A103" s="61" t="s">
        <v>244</v>
      </c>
      <c r="B103" s="32" t="s">
        <v>278</v>
      </c>
      <c r="C103" s="33" t="s">
        <v>239</v>
      </c>
      <c r="D103" s="34" t="s">
        <v>240</v>
      </c>
      <c r="E103" s="48" t="n">
        <v>12</v>
      </c>
      <c r="F103" s="36" t="s">
        <v>54</v>
      </c>
      <c r="G103" s="37"/>
      <c r="H103" s="38" t="n">
        <v>1027</v>
      </c>
      <c r="I103" s="39" t="n">
        <v>1027</v>
      </c>
      <c r="J103" s="40"/>
      <c r="K103" s="41" t="s">
        <v>24</v>
      </c>
      <c r="L103" s="42"/>
    </row>
    <row r="104" customFormat="false" ht="15.75" hidden="false" customHeight="true" outlineLevel="0" collapsed="false">
      <c r="A104" s="61" t="s">
        <v>244</v>
      </c>
      <c r="B104" s="32" t="s">
        <v>279</v>
      </c>
      <c r="C104" s="33" t="s">
        <v>239</v>
      </c>
      <c r="D104" s="34" t="s">
        <v>240</v>
      </c>
      <c r="E104" s="48" t="n">
        <v>12</v>
      </c>
      <c r="F104" s="36" t="s">
        <v>54</v>
      </c>
      <c r="G104" s="37"/>
      <c r="H104" s="38" t="n">
        <v>1027</v>
      </c>
      <c r="I104" s="39" t="n">
        <v>1027</v>
      </c>
      <c r="J104" s="40"/>
      <c r="K104" s="41" t="s">
        <v>24</v>
      </c>
      <c r="L104" s="42"/>
    </row>
    <row r="105" customFormat="false" ht="15.75" hidden="false" customHeight="true" outlineLevel="0" collapsed="false">
      <c r="A105" s="61" t="s">
        <v>244</v>
      </c>
      <c r="B105" s="49" t="s">
        <v>280</v>
      </c>
      <c r="C105" s="50" t="s">
        <v>281</v>
      </c>
      <c r="D105" s="51" t="s">
        <v>116</v>
      </c>
      <c r="E105" s="52" t="n">
        <v>145</v>
      </c>
      <c r="F105" s="53" t="s">
        <v>219</v>
      </c>
      <c r="G105" s="50" t="s">
        <v>23</v>
      </c>
      <c r="H105" s="55" t="n">
        <v>843.5</v>
      </c>
      <c r="I105" s="56" t="n">
        <v>843.5</v>
      </c>
      <c r="J105" s="57" t="n">
        <v>45989.5</v>
      </c>
      <c r="K105" s="58" t="s">
        <v>24</v>
      </c>
      <c r="L105" s="59"/>
    </row>
    <row r="106" customFormat="false" ht="15.75" hidden="false" customHeight="true" outlineLevel="0" collapsed="false">
      <c r="A106" s="61" t="s">
        <v>244</v>
      </c>
      <c r="B106" s="63" t="s">
        <v>282</v>
      </c>
      <c r="C106" s="64" t="s">
        <v>283</v>
      </c>
      <c r="D106" s="65" t="s">
        <v>284</v>
      </c>
      <c r="E106" s="66" t="n">
        <v>43</v>
      </c>
      <c r="F106" s="67" t="s">
        <v>271</v>
      </c>
      <c r="G106" s="64" t="s">
        <v>285</v>
      </c>
      <c r="H106" s="68" t="n">
        <v>680.63</v>
      </c>
      <c r="I106" s="69" t="n">
        <v>1161.26</v>
      </c>
      <c r="J106" s="70" t="n">
        <v>46076.5</v>
      </c>
      <c r="K106" s="71" t="s">
        <v>24</v>
      </c>
      <c r="L106" s="72"/>
    </row>
    <row r="107" customFormat="false" ht="15.75" hidden="false" customHeight="true" outlineLevel="0" collapsed="false">
      <c r="A107" s="61" t="s">
        <v>244</v>
      </c>
      <c r="B107" s="49" t="s">
        <v>286</v>
      </c>
      <c r="C107" s="50" t="s">
        <v>287</v>
      </c>
      <c r="D107" s="51" t="s">
        <v>288</v>
      </c>
      <c r="E107" s="52" t="n">
        <v>307</v>
      </c>
      <c r="F107" s="53" t="s">
        <v>219</v>
      </c>
      <c r="G107" s="50" t="s">
        <v>47</v>
      </c>
      <c r="H107" s="55" t="n">
        <v>590</v>
      </c>
      <c r="I107" s="56" t="n">
        <v>590</v>
      </c>
      <c r="J107" s="57" t="n">
        <v>45915.375</v>
      </c>
      <c r="K107" s="58" t="s">
        <v>24</v>
      </c>
      <c r="L107" s="59"/>
    </row>
    <row r="108" customFormat="false" ht="15.75" hidden="false" customHeight="true" outlineLevel="0" collapsed="false">
      <c r="A108" s="61" t="s">
        <v>244</v>
      </c>
      <c r="B108" s="32" t="s">
        <v>289</v>
      </c>
      <c r="C108" s="33" t="s">
        <v>258</v>
      </c>
      <c r="D108" s="34" t="s">
        <v>259</v>
      </c>
      <c r="E108" s="48" t="n">
        <v>0</v>
      </c>
      <c r="F108" s="36" t="s">
        <v>54</v>
      </c>
      <c r="G108" s="37"/>
      <c r="H108" s="38" t="n">
        <v>520.002</v>
      </c>
      <c r="I108" s="39" t="n">
        <v>520</v>
      </c>
      <c r="J108" s="40"/>
      <c r="K108" s="41" t="s">
        <v>24</v>
      </c>
      <c r="L108" s="42"/>
    </row>
    <row r="109" customFormat="false" ht="15.75" hidden="false" customHeight="true" outlineLevel="0" collapsed="false">
      <c r="A109" s="61" t="s">
        <v>244</v>
      </c>
      <c r="B109" s="49" t="s">
        <v>290</v>
      </c>
      <c r="C109" s="50" t="s">
        <v>291</v>
      </c>
      <c r="D109" s="51" t="s">
        <v>78</v>
      </c>
      <c r="E109" s="52" t="n">
        <v>252</v>
      </c>
      <c r="F109" s="53" t="s">
        <v>219</v>
      </c>
      <c r="G109" s="54"/>
      <c r="H109" s="55" t="n">
        <v>3500</v>
      </c>
      <c r="I109" s="56"/>
      <c r="J109" s="57" t="n">
        <v>45944.4583333333</v>
      </c>
      <c r="K109" s="58" t="s">
        <v>24</v>
      </c>
      <c r="L109" s="59"/>
    </row>
    <row r="110" customFormat="false" ht="15.75" hidden="false" customHeight="true" outlineLevel="0" collapsed="false">
      <c r="A110" s="61" t="s">
        <v>244</v>
      </c>
      <c r="B110" s="49" t="s">
        <v>292</v>
      </c>
      <c r="C110" s="50" t="s">
        <v>215</v>
      </c>
      <c r="D110" s="51" t="s">
        <v>216</v>
      </c>
      <c r="E110" s="73" t="n">
        <v>11</v>
      </c>
      <c r="F110" s="53" t="s">
        <v>219</v>
      </c>
      <c r="G110" s="54"/>
      <c r="H110" s="55" t="n">
        <v>9587.818</v>
      </c>
      <c r="I110" s="56" t="n">
        <v>9587.82</v>
      </c>
      <c r="J110" s="57" t="n">
        <v>46147.25</v>
      </c>
      <c r="K110" s="58" t="s">
        <v>24</v>
      </c>
      <c r="L110" s="59"/>
    </row>
    <row r="111" customFormat="false" ht="15.75" hidden="false" customHeight="true" outlineLevel="0" collapsed="false">
      <c r="A111" s="61" t="s">
        <v>244</v>
      </c>
      <c r="B111" s="49" t="s">
        <v>293</v>
      </c>
      <c r="C111" s="50" t="s">
        <v>294</v>
      </c>
      <c r="D111" s="51" t="s">
        <v>295</v>
      </c>
      <c r="E111" s="74" t="n">
        <v>82</v>
      </c>
      <c r="F111" s="53" t="s">
        <v>219</v>
      </c>
      <c r="G111" s="54"/>
      <c r="H111" s="55" t="n">
        <v>4174.009</v>
      </c>
      <c r="I111" s="56" t="n">
        <v>4174.01</v>
      </c>
      <c r="J111" s="57" t="n">
        <v>46059.25</v>
      </c>
      <c r="K111" s="58" t="s">
        <v>24</v>
      </c>
      <c r="L111" s="59"/>
    </row>
    <row r="112" customFormat="false" ht="15.75" hidden="false" customHeight="true" outlineLevel="0" collapsed="false">
      <c r="A112" s="61" t="s">
        <v>244</v>
      </c>
      <c r="B112" s="49" t="s">
        <v>296</v>
      </c>
      <c r="C112" s="50" t="s">
        <v>297</v>
      </c>
      <c r="D112" s="51" t="s">
        <v>298</v>
      </c>
      <c r="E112" s="74" t="n">
        <v>83</v>
      </c>
      <c r="F112" s="53" t="s">
        <v>219</v>
      </c>
      <c r="G112" s="54"/>
      <c r="H112" s="55" t="n">
        <v>3906.208</v>
      </c>
      <c r="I112" s="56" t="n">
        <v>3906.21</v>
      </c>
      <c r="J112" s="57" t="n">
        <v>46038.25</v>
      </c>
      <c r="K112" s="58" t="s">
        <v>24</v>
      </c>
      <c r="L112" s="59"/>
    </row>
    <row r="113" customFormat="false" ht="15.75" hidden="false" customHeight="true" outlineLevel="0" collapsed="false">
      <c r="A113" s="61" t="s">
        <v>244</v>
      </c>
      <c r="B113" s="49" t="s">
        <v>299</v>
      </c>
      <c r="C113" s="50" t="s">
        <v>300</v>
      </c>
      <c r="D113" s="51" t="s">
        <v>85</v>
      </c>
      <c r="E113" s="74" t="n">
        <v>42</v>
      </c>
      <c r="F113" s="53" t="s">
        <v>219</v>
      </c>
      <c r="G113" s="54"/>
      <c r="H113" s="55" t="n">
        <v>3283.2348</v>
      </c>
      <c r="I113" s="56" t="n">
        <v>3283.24</v>
      </c>
      <c r="J113" s="57" t="n">
        <v>46135.25</v>
      </c>
      <c r="K113" s="58" t="s">
        <v>24</v>
      </c>
      <c r="L113" s="59"/>
    </row>
    <row r="114" customFormat="false" ht="15.75" hidden="false" customHeight="true" outlineLevel="0" collapsed="false">
      <c r="A114" s="61" t="s">
        <v>244</v>
      </c>
      <c r="B114" s="49" t="s">
        <v>301</v>
      </c>
      <c r="C114" s="50" t="s">
        <v>302</v>
      </c>
      <c r="D114" s="51" t="s">
        <v>303</v>
      </c>
      <c r="E114" s="74" t="n">
        <v>35</v>
      </c>
      <c r="F114" s="53" t="s">
        <v>219</v>
      </c>
      <c r="G114" s="54"/>
      <c r="H114" s="55" t="n">
        <v>2865.004</v>
      </c>
      <c r="I114" s="56" t="n">
        <v>2865</v>
      </c>
      <c r="J114" s="57" t="n">
        <v>46126.25</v>
      </c>
      <c r="K114" s="58" t="s">
        <v>24</v>
      </c>
      <c r="L114" s="59"/>
    </row>
    <row r="115" customFormat="false" ht="15.75" hidden="false" customHeight="true" outlineLevel="0" collapsed="false">
      <c r="A115" s="61" t="s">
        <v>244</v>
      </c>
      <c r="B115" s="49" t="s">
        <v>304</v>
      </c>
      <c r="C115" s="50" t="s">
        <v>305</v>
      </c>
      <c r="D115" s="51" t="s">
        <v>306</v>
      </c>
      <c r="E115" s="74" t="n">
        <v>53</v>
      </c>
      <c r="F115" s="53" t="s">
        <v>219</v>
      </c>
      <c r="G115" s="54"/>
      <c r="H115" s="55" t="n">
        <v>1985</v>
      </c>
      <c r="I115" s="56" t="n">
        <v>1985</v>
      </c>
      <c r="J115" s="57" t="n">
        <v>46071.25</v>
      </c>
      <c r="K115" s="58" t="s">
        <v>24</v>
      </c>
      <c r="L115" s="59"/>
    </row>
    <row r="116" customFormat="false" ht="15.75" hidden="false" customHeight="true" outlineLevel="0" collapsed="false">
      <c r="A116" s="61" t="s">
        <v>244</v>
      </c>
      <c r="B116" s="49" t="s">
        <v>307</v>
      </c>
      <c r="C116" s="50" t="s">
        <v>308</v>
      </c>
      <c r="D116" s="51" t="s">
        <v>125</v>
      </c>
      <c r="E116" s="74" t="n">
        <v>41</v>
      </c>
      <c r="F116" s="53" t="s">
        <v>219</v>
      </c>
      <c r="G116" s="54"/>
      <c r="H116" s="55" t="n">
        <v>1670.762</v>
      </c>
      <c r="I116" s="56" t="n">
        <v>1670.76</v>
      </c>
      <c r="J116" s="57" t="n">
        <v>46139.25</v>
      </c>
      <c r="K116" s="58" t="s">
        <v>24</v>
      </c>
      <c r="L116" s="59"/>
    </row>
    <row r="117" customFormat="false" ht="15.75" hidden="false" customHeight="true" outlineLevel="0" collapsed="false">
      <c r="A117" s="61" t="s">
        <v>244</v>
      </c>
      <c r="B117" s="49" t="s">
        <v>309</v>
      </c>
      <c r="C117" s="50" t="s">
        <v>310</v>
      </c>
      <c r="D117" s="51" t="s">
        <v>125</v>
      </c>
      <c r="E117" s="74" t="n">
        <v>40</v>
      </c>
      <c r="F117" s="53" t="s">
        <v>219</v>
      </c>
      <c r="G117" s="54"/>
      <c r="H117" s="55" t="n">
        <v>660.513</v>
      </c>
      <c r="I117" s="56" t="n">
        <v>660.51</v>
      </c>
      <c r="J117" s="57" t="n">
        <v>46092.5</v>
      </c>
      <c r="K117" s="58" t="s">
        <v>24</v>
      </c>
      <c r="L117" s="59"/>
    </row>
    <row r="118" customFormat="false" ht="15.75" hidden="false" customHeight="true" outlineLevel="0" collapsed="false">
      <c r="A118" s="61" t="s">
        <v>244</v>
      </c>
      <c r="B118" s="49" t="s">
        <v>311</v>
      </c>
      <c r="C118" s="50" t="s">
        <v>208</v>
      </c>
      <c r="D118" s="51" t="s">
        <v>209</v>
      </c>
      <c r="E118" s="73" t="n">
        <v>14</v>
      </c>
      <c r="F118" s="53" t="s">
        <v>219</v>
      </c>
      <c r="G118" s="54"/>
      <c r="H118" s="55" t="n">
        <v>5673.04</v>
      </c>
      <c r="I118" s="56" t="n">
        <v>5673.04</v>
      </c>
      <c r="J118" s="57" t="n">
        <v>46141.25</v>
      </c>
      <c r="K118" s="58" t="s">
        <v>24</v>
      </c>
      <c r="L118" s="59"/>
    </row>
    <row r="119" customFormat="false" ht="15.75" hidden="false" customHeight="true" outlineLevel="0" collapsed="false">
      <c r="A119" s="61" t="s">
        <v>244</v>
      </c>
      <c r="B119" s="49" t="s">
        <v>312</v>
      </c>
      <c r="C119" s="50" t="s">
        <v>239</v>
      </c>
      <c r="D119" s="51" t="s">
        <v>240</v>
      </c>
      <c r="E119" s="73" t="n">
        <v>-1</v>
      </c>
      <c r="F119" s="53" t="s">
        <v>219</v>
      </c>
      <c r="G119" s="54"/>
      <c r="H119" s="55" t="n">
        <v>5238.4</v>
      </c>
      <c r="I119" s="56" t="n">
        <v>5238.4</v>
      </c>
      <c r="J119" s="57"/>
      <c r="K119" s="58" t="s">
        <v>24</v>
      </c>
      <c r="L119" s="59"/>
    </row>
    <row r="120" customFormat="false" ht="15.75" hidden="false" customHeight="true" outlineLevel="0" collapsed="false">
      <c r="A120" s="61" t="s">
        <v>244</v>
      </c>
      <c r="B120" s="49" t="s">
        <v>313</v>
      </c>
      <c r="C120" s="50" t="s">
        <v>314</v>
      </c>
      <c r="D120" s="51" t="s">
        <v>315</v>
      </c>
      <c r="E120" s="73" t="n">
        <v>11</v>
      </c>
      <c r="F120" s="53" t="s">
        <v>219</v>
      </c>
      <c r="G120" s="54"/>
      <c r="H120" s="55" t="n">
        <v>3190</v>
      </c>
      <c r="I120" s="56" t="n">
        <v>3190</v>
      </c>
      <c r="J120" s="57" t="n">
        <v>46120.2916666667</v>
      </c>
      <c r="K120" s="58" t="s">
        <v>24</v>
      </c>
      <c r="L120" s="59"/>
    </row>
    <row r="121" customFormat="false" ht="15.75" hidden="false" customHeight="true" outlineLevel="0" collapsed="false">
      <c r="A121" s="61" t="s">
        <v>244</v>
      </c>
      <c r="B121" s="49" t="s">
        <v>316</v>
      </c>
      <c r="C121" s="50" t="s">
        <v>317</v>
      </c>
      <c r="D121" s="51" t="s">
        <v>318</v>
      </c>
      <c r="E121" s="73" t="n">
        <v>25</v>
      </c>
      <c r="F121" s="53" t="s">
        <v>219</v>
      </c>
      <c r="G121" s="54"/>
      <c r="H121" s="55" t="n">
        <v>1753.9506</v>
      </c>
      <c r="I121" s="56" t="n">
        <v>1753.96</v>
      </c>
      <c r="J121" s="57" t="n">
        <v>46140.25</v>
      </c>
      <c r="K121" s="58" t="s">
        <v>24</v>
      </c>
      <c r="L121" s="59"/>
    </row>
    <row r="122" customFormat="false" ht="15.75" hidden="false" customHeight="true" outlineLevel="0" collapsed="false">
      <c r="A122" s="61" t="s">
        <v>244</v>
      </c>
      <c r="B122" s="49" t="s">
        <v>319</v>
      </c>
      <c r="C122" s="50" t="s">
        <v>320</v>
      </c>
      <c r="D122" s="51" t="s">
        <v>125</v>
      </c>
      <c r="E122" s="73" t="n">
        <v>12</v>
      </c>
      <c r="F122" s="53" t="s">
        <v>219</v>
      </c>
      <c r="G122" s="54"/>
      <c r="H122" s="55" t="n">
        <v>1733.413</v>
      </c>
      <c r="I122" s="56" t="n">
        <v>1733.41</v>
      </c>
      <c r="J122" s="57" t="n">
        <v>46143.25</v>
      </c>
      <c r="K122" s="58" t="s">
        <v>24</v>
      </c>
      <c r="L122" s="59"/>
    </row>
    <row r="123" customFormat="false" ht="15.75" hidden="false" customHeight="true" outlineLevel="0" collapsed="false">
      <c r="A123" s="61" t="s">
        <v>244</v>
      </c>
      <c r="B123" s="49" t="s">
        <v>321</v>
      </c>
      <c r="C123" s="50" t="s">
        <v>322</v>
      </c>
      <c r="D123" s="51" t="s">
        <v>323</v>
      </c>
      <c r="E123" s="73" t="n">
        <v>8</v>
      </c>
      <c r="F123" s="53" t="s">
        <v>219</v>
      </c>
      <c r="G123" s="54"/>
      <c r="H123" s="55" t="n">
        <v>1325.0025</v>
      </c>
      <c r="I123" s="56" t="n">
        <v>1325</v>
      </c>
      <c r="J123" s="57" t="n">
        <v>46125.25</v>
      </c>
      <c r="K123" s="58" t="s">
        <v>24</v>
      </c>
      <c r="L123" s="59"/>
    </row>
    <row r="124" customFormat="false" ht="15.75" hidden="false" customHeight="true" outlineLevel="0" collapsed="false">
      <c r="A124" s="61" t="s">
        <v>244</v>
      </c>
      <c r="B124" s="49" t="s">
        <v>324</v>
      </c>
      <c r="C124" s="50" t="s">
        <v>325</v>
      </c>
      <c r="D124" s="51" t="s">
        <v>326</v>
      </c>
      <c r="E124" s="73" t="n">
        <v>28</v>
      </c>
      <c r="F124" s="53" t="s">
        <v>219</v>
      </c>
      <c r="G124" s="54"/>
      <c r="H124" s="55" t="n">
        <v>780.003</v>
      </c>
      <c r="I124" s="56" t="n">
        <v>780</v>
      </c>
      <c r="J124" s="57" t="n">
        <v>46106.3333333333</v>
      </c>
      <c r="K124" s="58" t="s">
        <v>24</v>
      </c>
      <c r="L124" s="59"/>
    </row>
    <row r="125" customFormat="false" ht="15.75" hidden="false" customHeight="true" outlineLevel="0" collapsed="false">
      <c r="A125" s="61" t="s">
        <v>244</v>
      </c>
      <c r="B125" s="49" t="s">
        <v>327</v>
      </c>
      <c r="C125" s="50" t="s">
        <v>328</v>
      </c>
      <c r="D125" s="51" t="s">
        <v>329</v>
      </c>
      <c r="E125" s="73" t="n">
        <v>19</v>
      </c>
      <c r="F125" s="53" t="s">
        <v>219</v>
      </c>
      <c r="G125" s="54"/>
      <c r="H125" s="55" t="n">
        <v>700.102</v>
      </c>
      <c r="I125" s="56" t="n">
        <v>700.1</v>
      </c>
      <c r="J125" s="57" t="n">
        <v>46107.4166666667</v>
      </c>
      <c r="K125" s="58" t="s">
        <v>24</v>
      </c>
      <c r="L125" s="59"/>
    </row>
    <row r="126" customFormat="false" ht="15.75" hidden="false" customHeight="true" outlineLevel="0" collapsed="false">
      <c r="A126" s="61" t="s">
        <v>244</v>
      </c>
      <c r="B126" s="49" t="s">
        <v>330</v>
      </c>
      <c r="C126" s="50" t="s">
        <v>331</v>
      </c>
      <c r="D126" s="51" t="s">
        <v>332</v>
      </c>
      <c r="E126" s="73" t="n">
        <v>11</v>
      </c>
      <c r="F126" s="53" t="s">
        <v>219</v>
      </c>
      <c r="G126" s="54"/>
      <c r="H126" s="55" t="n">
        <v>650.0025</v>
      </c>
      <c r="I126" s="56" t="n">
        <v>650</v>
      </c>
      <c r="J126" s="57" t="n">
        <v>46146.25</v>
      </c>
      <c r="K126" s="58" t="s">
        <v>24</v>
      </c>
      <c r="L126" s="59"/>
    </row>
    <row r="127" customFormat="false" ht="15.75" hidden="false" customHeight="true" outlineLevel="0" collapsed="false">
      <c r="A127" s="61" t="s">
        <v>244</v>
      </c>
      <c r="B127" s="49" t="s">
        <v>333</v>
      </c>
      <c r="C127" s="50" t="s">
        <v>71</v>
      </c>
      <c r="D127" s="51" t="s">
        <v>72</v>
      </c>
      <c r="E127" s="73" t="n">
        <v>14</v>
      </c>
      <c r="F127" s="53" t="s">
        <v>219</v>
      </c>
      <c r="G127" s="54"/>
      <c r="H127" s="55" t="n">
        <v>460</v>
      </c>
      <c r="I127" s="56" t="n">
        <v>460</v>
      </c>
      <c r="J127" s="57" t="n">
        <v>46142.25</v>
      </c>
      <c r="K127" s="58" t="s">
        <v>24</v>
      </c>
      <c r="L127" s="59"/>
    </row>
    <row r="128" customFormat="false" ht="15.75" hidden="false" customHeight="true" outlineLevel="0" collapsed="false">
      <c r="A128" s="61" t="s">
        <v>244</v>
      </c>
      <c r="B128" s="49" t="s">
        <v>334</v>
      </c>
      <c r="C128" s="50" t="s">
        <v>335</v>
      </c>
      <c r="D128" s="51" t="s">
        <v>65</v>
      </c>
      <c r="E128" s="73" t="n">
        <v>19</v>
      </c>
      <c r="F128" s="53" t="s">
        <v>219</v>
      </c>
      <c r="G128" s="54"/>
      <c r="H128" s="55" t="n">
        <v>520.002</v>
      </c>
      <c r="I128" s="56" t="n">
        <v>520</v>
      </c>
      <c r="J128" s="57" t="n">
        <v>46108.375</v>
      </c>
      <c r="K128" s="58" t="s">
        <v>24</v>
      </c>
      <c r="L128" s="59"/>
    </row>
    <row r="129" customFormat="false" ht="15.75" hidden="false" customHeight="true" outlineLevel="0" collapsed="false">
      <c r="A129" s="61" t="s">
        <v>244</v>
      </c>
      <c r="B129" s="49" t="s">
        <v>336</v>
      </c>
      <c r="C129" s="50" t="s">
        <v>40</v>
      </c>
      <c r="D129" s="51" t="s">
        <v>41</v>
      </c>
      <c r="E129" s="73" t="n">
        <v>5</v>
      </c>
      <c r="F129" s="53" t="s">
        <v>219</v>
      </c>
      <c r="G129" s="54"/>
      <c r="H129" s="55" t="n">
        <v>460</v>
      </c>
      <c r="I129" s="56" t="n">
        <v>460</v>
      </c>
      <c r="J129" s="57" t="n">
        <v>46119.5</v>
      </c>
      <c r="K129" s="58" t="s">
        <v>24</v>
      </c>
      <c r="L129" s="59"/>
    </row>
    <row r="130" customFormat="false" ht="15.75" hidden="false" customHeight="true" outlineLevel="0" collapsed="false">
      <c r="A130" s="61" t="s">
        <v>244</v>
      </c>
      <c r="B130" s="49" t="s">
        <v>337</v>
      </c>
      <c r="C130" s="50" t="s">
        <v>338</v>
      </c>
      <c r="D130" s="51" t="s">
        <v>125</v>
      </c>
      <c r="E130" s="73" t="n">
        <v>-2</v>
      </c>
      <c r="F130" s="53" t="s">
        <v>219</v>
      </c>
      <c r="G130" s="54"/>
      <c r="H130" s="55" t="n">
        <v>0</v>
      </c>
      <c r="I130" s="56" t="n">
        <v>1818.5</v>
      </c>
      <c r="J130" s="57" t="n">
        <v>46122.5</v>
      </c>
      <c r="K130" s="58" t="s">
        <v>24</v>
      </c>
      <c r="L130" s="59"/>
    </row>
    <row r="132" customFormat="false" ht="19.5" hidden="false" customHeight="true" outlineLevel="0" collapsed="false">
      <c r="A132" s="75" t="str">
        <f aca="false">SUBTOTAL(103,B8:B130)&amp;" of 123 repairs shown"</f>
        <v>123 of 123 repairs shown</v>
      </c>
      <c r="B132" s="75"/>
      <c r="C132" s="75"/>
      <c r="D132" s="75"/>
      <c r="E132" s="75"/>
      <c r="F132" s="75"/>
      <c r="G132" s="75"/>
      <c r="H132" s="76" t="n">
        <f aca="false">SUBTOTAL(9,H8:H130)</f>
        <v>458419.1139</v>
      </c>
      <c r="I132" s="76" t="n">
        <f aca="false">SUBTOTAL(9,I8:I130)</f>
        <v>449038.16</v>
      </c>
      <c r="J132" s="77"/>
      <c r="K132" s="77"/>
      <c r="L132" s="77"/>
    </row>
  </sheetData>
  <autoFilter ref="A7:L130"/>
  <mergeCells count="13">
    <mergeCell ref="A1:L1"/>
    <mergeCell ref="A2:L2"/>
    <mergeCell ref="A3:L3"/>
    <mergeCell ref="A4:C4"/>
    <mergeCell ref="D4:F4"/>
    <mergeCell ref="G4:I4"/>
    <mergeCell ref="J4:L4"/>
    <mergeCell ref="A5:C5"/>
    <mergeCell ref="D5:F5"/>
    <mergeCell ref="G5:I5"/>
    <mergeCell ref="J5:L5"/>
    <mergeCell ref="A6:L6"/>
    <mergeCell ref="A132:E132"/>
  </mergeCells>
  <conditionalFormatting sqref="F8:F130">
    <cfRule type="expression" priority="2" aboveAverage="0" equalAverage="0" bottom="0" percent="0" rank="0" text="" dxfId="95">
      <formula>$F8="REVISIT"</formula>
    </cfRule>
    <cfRule type="expression" priority="3" aboveAverage="0" equalAverage="0" bottom="0" percent="0" rank="0" text="" dxfId="96">
      <formula>$F8="SCHEDULED"</formula>
    </cfRule>
    <cfRule type="expression" priority="4" aboveAverage="0" equalAverage="0" bottom="0" percent="0" rank="0" text="" dxfId="97">
      <formula>$F8="READY"</formula>
    </cfRule>
    <cfRule type="expression" priority="5" aboveAverage="0" equalAverage="0" bottom="0" percent="0" rank="0" text="" dxfId="98">
      <formula>$F8="INPROGRESS"</formula>
    </cfRule>
    <cfRule type="expression" priority="6" aboveAverage="0" equalAverage="0" bottom="0" percent="0" rank="0" text="" dxfId="99">
      <formula>$F8="PERFORMED"</formula>
    </cfRule>
  </conditionalFormatting>
  <conditionalFormatting sqref="H8:H130">
    <cfRule type="dataBar" priority="7">
      <dataBar showValue="1" minLength="10" maxLength="90">
        <cfvo type="min" val="0"/>
        <cfvo type="max" val="0"/>
        <color rgb="FF334155"/>
      </dataBar>
      <extLst>
        <ext xmlns:x14="http://schemas.microsoft.com/office/spreadsheetml/2009/9/main" uri="{B025F937-C7B1-47D3-B67F-A62EFF666E3E}">
          <x14:id>{54537F6D-63A6-406B-BA76-E954E425E311}</x14:id>
        </ext>
      </extLst>
    </cfRule>
  </conditionalFormatting>
  <conditionalFormatting sqref="E8:E130">
    <cfRule type="colorScale" priority="8">
      <colorScale>
        <cfvo type="num" val="0"/>
        <cfvo type="num" val="60"/>
        <cfvo type="num" val="400"/>
        <color rgb="FFF0FDF4"/>
        <color rgb="FFFFFBEB"/>
        <color rgb="FF7F1D1D"/>
      </colorScale>
    </cfRule>
  </conditionalFormatting>
  <conditionalFormatting sqref="K8:K130">
    <cfRule type="expression" priority="9" aboveAverage="0" equalAverage="0" bottom="0" percent="0" rank="0" text="" dxfId="100">
      <formula>$K8="Yes"</formula>
    </cfRule>
  </conditionalFormatting>
  <dataValidations count="4">
    <dataValidation allowBlank="true" error="Select from list" errorStyle="stop" errorTitle="Invalid entry" operator="between" prompt="REVISIT, SCHEDULED, READY, INPROGRESS…" promptTitle="Select value" showDropDown="false" showErrorMessage="true" showInputMessage="true" sqref="F8:F130" type="list">
      <formula1>"REVISIT,SCHEDULED,READY,INPROGRESS,PERFORMED"</formula1>
      <formula2>0</formula2>
    </dataValidation>
    <dataValidation allowBlank="true" error="Select from list" errorStyle="stop" errorTitle="Invalid entry" operator="between" prompt="Bailey Arthur, Darren Brailey, Gordon Jenkins, Haider Al-Heyoury…" promptTitle="Select value" showDropDown="false" showErrorMessage="true" showInputMessage="true" sqref="G8:G130" type="list">
      <formula1>"Bailey Arthur,Darren Brailey,Gordon Jenkins,Haider Al-Heyoury,Hugo,Jimmy Kak,John Minai,Nick Hollingsworth,Nu Unasa,Ryan Robinson,Tim Hu"</formula1>
      <formula2>0</formula2>
    </dataValidation>
    <dataValidation allowBlank="true" error="Select from list" errorStyle="stop" errorTitle="Invalid entry" operator="between" prompt="CRITICAL, HIGH, MEDIUM, LOW" promptTitle="Select value" showDropDown="false" showErrorMessage="true" showInputMessage="true" sqref="A8:A130" type="list">
      <formula1>"CRITICAL,HIGH,MEDIUM,LOW"</formula1>
      <formula2>0</formula2>
    </dataValidation>
    <dataValidation allowBlank="true" error="Select from list" errorStyle="stop" errorTitle="Invalid entry" operator="between" prompt="Yes, No" promptTitle="Select value" showDropDown="false" showErrorMessage="true" showInputMessage="true" sqref="K8:K13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537F6D-63A6-406B-BA76-E954E425E311}">
            <x14:dataBar minLength="10" maxLength="90" axisPosition="none" gradient="true">
              <x14:cfvo type="min"/>
              <x14:cfvo type="max"/>
              <x14:negativeFillColor rgb="FF334155"/>
              <x14:axisColor rgb="FF000000"/>
            </x14:dataBar>
          </x14:cfRule>
          <xm:sqref>H8:H130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H5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5" min="4" style="0" width="16"/>
    <col collapsed="false" customWidth="true" hidden="false" outlineLevel="0" max="6" min="6" style="0" width="58"/>
    <col collapsed="false" customWidth="true" hidden="false" outlineLevel="0" max="8" min="7" style="0" width="14"/>
  </cols>
  <sheetData>
    <row r="1" customFormat="false" ht="27.75" hidden="false" customHeight="true" outlineLevel="0" collapsed="false">
      <c r="A1" s="1" t="s">
        <v>339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78" t="s">
        <v>340</v>
      </c>
      <c r="B2" s="78"/>
      <c r="C2" s="78"/>
      <c r="D2" s="78"/>
      <c r="E2" s="78"/>
      <c r="F2" s="78"/>
      <c r="G2" s="78"/>
      <c r="H2" s="78"/>
    </row>
    <row r="3" customFormat="false" ht="21.75" hidden="false" customHeight="true" outlineLevel="0" collapsed="false">
      <c r="A3" s="9" t="s">
        <v>341</v>
      </c>
      <c r="B3" s="9" t="s">
        <v>342</v>
      </c>
      <c r="C3" s="9" t="s">
        <v>343</v>
      </c>
      <c r="D3" s="79" t="s">
        <v>344</v>
      </c>
      <c r="E3" s="9" t="s">
        <v>345</v>
      </c>
      <c r="F3" s="9" t="s">
        <v>346</v>
      </c>
      <c r="G3" s="80" t="s">
        <v>347</v>
      </c>
      <c r="H3" s="79" t="s">
        <v>348</v>
      </c>
    </row>
    <row r="4" customFormat="false" ht="31.5" hidden="false" customHeight="true" outlineLevel="0" collapsed="false">
      <c r="A4" s="81" t="s">
        <v>349</v>
      </c>
      <c r="B4" s="81" t="s">
        <v>73</v>
      </c>
      <c r="C4" s="81" t="s">
        <v>350</v>
      </c>
      <c r="D4" s="81" t="s">
        <v>22</v>
      </c>
      <c r="E4" s="81" t="s">
        <v>22</v>
      </c>
      <c r="F4" s="82" t="s">
        <v>351</v>
      </c>
      <c r="G4" s="81"/>
      <c r="H4" s="81" t="s">
        <v>352</v>
      </c>
    </row>
    <row r="5" customFormat="false" ht="31.5" hidden="false" customHeight="true" outlineLevel="0" collapsed="false">
      <c r="A5" s="83" t="s">
        <v>349</v>
      </c>
      <c r="B5" s="83" t="s">
        <v>207</v>
      </c>
      <c r="C5" s="83" t="s">
        <v>353</v>
      </c>
      <c r="D5" s="83" t="s">
        <v>22</v>
      </c>
      <c r="E5" s="83" t="s">
        <v>22</v>
      </c>
      <c r="F5" s="84" t="s">
        <v>354</v>
      </c>
      <c r="G5" s="83"/>
      <c r="H5" s="83" t="s">
        <v>352</v>
      </c>
    </row>
    <row r="6" customFormat="false" ht="15.75" hidden="false" customHeight="true" outlineLevel="0" collapsed="false">
      <c r="A6" s="85" t="s">
        <v>355</v>
      </c>
      <c r="B6" s="85"/>
      <c r="C6" s="85"/>
      <c r="D6" s="85"/>
      <c r="E6" s="85"/>
      <c r="F6" s="85"/>
      <c r="G6" s="85"/>
      <c r="H6" s="85"/>
    </row>
    <row r="7" customFormat="false" ht="19.5" hidden="false" customHeight="true" outlineLevel="0" collapsed="false">
      <c r="A7" s="86"/>
      <c r="B7" s="86"/>
      <c r="C7" s="86"/>
      <c r="D7" s="86"/>
      <c r="E7" s="86"/>
      <c r="F7" s="86"/>
      <c r="G7" s="87"/>
      <c r="H7" s="86"/>
    </row>
    <row r="8" customFormat="false" ht="15" hidden="false" customHeight="false" outlineLevel="0" collapsed="false">
      <c r="G8" s="88"/>
    </row>
    <row r="9" customFormat="false" ht="15" hidden="false" customHeight="false" outlineLevel="0" collapsed="false">
      <c r="G9" s="88"/>
    </row>
    <row r="10" customFormat="false" ht="15" hidden="false" customHeight="false" outlineLevel="0" collapsed="false">
      <c r="G10" s="88"/>
    </row>
    <row r="11" customFormat="false" ht="15" hidden="false" customHeight="false" outlineLevel="0" collapsed="false">
      <c r="G11" s="88"/>
    </row>
    <row r="12" customFormat="false" ht="15" hidden="false" customHeight="false" outlineLevel="0" collapsed="false">
      <c r="G12" s="88"/>
    </row>
    <row r="13" customFormat="false" ht="15" hidden="false" customHeight="false" outlineLevel="0" collapsed="false">
      <c r="G13" s="88"/>
    </row>
    <row r="14" customFormat="false" ht="15" hidden="false" customHeight="false" outlineLevel="0" collapsed="false">
      <c r="G14" s="88"/>
    </row>
    <row r="15" customFormat="false" ht="15" hidden="false" customHeight="false" outlineLevel="0" collapsed="false">
      <c r="G15" s="88"/>
    </row>
    <row r="16" customFormat="false" ht="15" hidden="false" customHeight="false" outlineLevel="0" collapsed="false">
      <c r="G16" s="88"/>
    </row>
    <row r="17" customFormat="false" ht="15" hidden="false" customHeight="false" outlineLevel="0" collapsed="false">
      <c r="G17" s="88"/>
    </row>
    <row r="18" customFormat="false" ht="15" hidden="false" customHeight="false" outlineLevel="0" collapsed="false">
      <c r="G18" s="88"/>
    </row>
    <row r="19" customFormat="false" ht="15" hidden="false" customHeight="false" outlineLevel="0" collapsed="false">
      <c r="G19" s="88"/>
    </row>
    <row r="20" customFormat="false" ht="15" hidden="false" customHeight="false" outlineLevel="0" collapsed="false">
      <c r="G20" s="88"/>
    </row>
    <row r="21" customFormat="false" ht="15" hidden="false" customHeight="false" outlineLevel="0" collapsed="false">
      <c r="G21" s="88"/>
    </row>
    <row r="22" customFormat="false" ht="15" hidden="false" customHeight="false" outlineLevel="0" collapsed="false">
      <c r="G22" s="88"/>
    </row>
    <row r="23" customFormat="false" ht="15" hidden="false" customHeight="false" outlineLevel="0" collapsed="false">
      <c r="G23" s="88"/>
    </row>
    <row r="24" customFormat="false" ht="15" hidden="false" customHeight="false" outlineLevel="0" collapsed="false">
      <c r="G24" s="88"/>
    </row>
    <row r="25" customFormat="false" ht="15" hidden="false" customHeight="false" outlineLevel="0" collapsed="false">
      <c r="G25" s="88"/>
    </row>
    <row r="26" customFormat="false" ht="15" hidden="false" customHeight="false" outlineLevel="0" collapsed="false">
      <c r="G26" s="88"/>
    </row>
    <row r="27" customFormat="false" ht="15" hidden="false" customHeight="false" outlineLevel="0" collapsed="false">
      <c r="G27" s="88"/>
    </row>
    <row r="28" customFormat="false" ht="15" hidden="false" customHeight="false" outlineLevel="0" collapsed="false">
      <c r="G28" s="88"/>
    </row>
    <row r="29" customFormat="false" ht="15" hidden="false" customHeight="false" outlineLevel="0" collapsed="false">
      <c r="G29" s="88"/>
    </row>
    <row r="30" customFormat="false" ht="15" hidden="false" customHeight="false" outlineLevel="0" collapsed="false">
      <c r="G30" s="88"/>
    </row>
    <row r="31" customFormat="false" ht="15" hidden="false" customHeight="false" outlineLevel="0" collapsed="false">
      <c r="G31" s="88"/>
    </row>
    <row r="32" customFormat="false" ht="15" hidden="false" customHeight="false" outlineLevel="0" collapsed="false">
      <c r="G32" s="88"/>
    </row>
    <row r="33" customFormat="false" ht="15" hidden="false" customHeight="false" outlineLevel="0" collapsed="false">
      <c r="G33" s="88"/>
    </row>
    <row r="34" customFormat="false" ht="15" hidden="false" customHeight="false" outlineLevel="0" collapsed="false">
      <c r="G34" s="88"/>
    </row>
    <row r="35" customFormat="false" ht="15" hidden="false" customHeight="false" outlineLevel="0" collapsed="false">
      <c r="G35" s="88"/>
    </row>
    <row r="36" customFormat="false" ht="15" hidden="false" customHeight="false" outlineLevel="0" collapsed="false">
      <c r="G36" s="88"/>
    </row>
    <row r="37" customFormat="false" ht="15" hidden="false" customHeight="false" outlineLevel="0" collapsed="false">
      <c r="G37" s="88"/>
    </row>
    <row r="38" customFormat="false" ht="15" hidden="false" customHeight="false" outlineLevel="0" collapsed="false">
      <c r="G38" s="88"/>
    </row>
    <row r="39" customFormat="false" ht="15" hidden="false" customHeight="false" outlineLevel="0" collapsed="false">
      <c r="G39" s="88"/>
    </row>
    <row r="40" customFormat="false" ht="15" hidden="false" customHeight="false" outlineLevel="0" collapsed="false">
      <c r="G40" s="88"/>
    </row>
    <row r="41" customFormat="false" ht="15" hidden="false" customHeight="false" outlineLevel="0" collapsed="false">
      <c r="G41" s="88"/>
    </row>
    <row r="42" customFormat="false" ht="15" hidden="false" customHeight="false" outlineLevel="0" collapsed="false">
      <c r="G42" s="88"/>
    </row>
    <row r="43" customFormat="false" ht="15" hidden="false" customHeight="false" outlineLevel="0" collapsed="false">
      <c r="G43" s="88"/>
    </row>
    <row r="44" customFormat="false" ht="15" hidden="false" customHeight="false" outlineLevel="0" collapsed="false">
      <c r="G44" s="88"/>
    </row>
    <row r="45" customFormat="false" ht="15" hidden="false" customHeight="false" outlineLevel="0" collapsed="false">
      <c r="G45" s="88"/>
    </row>
    <row r="46" customFormat="false" ht="15" hidden="false" customHeight="false" outlineLevel="0" collapsed="false">
      <c r="G46" s="88"/>
    </row>
    <row r="47" customFormat="false" ht="15" hidden="false" customHeight="false" outlineLevel="0" collapsed="false">
      <c r="G47" s="88"/>
    </row>
    <row r="48" customFormat="false" ht="15" hidden="false" customHeight="false" outlineLevel="0" collapsed="false">
      <c r="G48" s="88"/>
    </row>
    <row r="49" customFormat="false" ht="15" hidden="false" customHeight="false" outlineLevel="0" collapsed="false">
      <c r="G49" s="88"/>
    </row>
    <row r="50" customFormat="false" ht="15" hidden="false" customHeight="false" outlineLevel="0" collapsed="false">
      <c r="G50" s="88"/>
    </row>
    <row r="51" customFormat="false" ht="15" hidden="false" customHeight="false" outlineLevel="0" collapsed="false">
      <c r="G51" s="88"/>
    </row>
    <row r="52" customFormat="false" ht="15" hidden="false" customHeight="false" outlineLevel="0" collapsed="false">
      <c r="G52" s="88"/>
    </row>
    <row r="53" customFormat="false" ht="15" hidden="false" customHeight="false" outlineLevel="0" collapsed="false">
      <c r="G53" s="88"/>
    </row>
    <row r="54" customFormat="false" ht="15" hidden="false" customHeight="false" outlineLevel="0" collapsed="false">
      <c r="G54" s="88"/>
    </row>
    <row r="55" customFormat="false" ht="15" hidden="false" customHeight="false" outlineLevel="0" collapsed="false">
      <c r="G55" s="88"/>
    </row>
    <row r="56" customFormat="false" ht="15" hidden="false" customHeight="false" outlineLevel="0" collapsed="false">
      <c r="G56" s="88"/>
    </row>
    <row r="57" customFormat="false" ht="15" hidden="false" customHeight="false" outlineLevel="0" collapsed="false">
      <c r="G57" s="88"/>
    </row>
    <row r="58" customFormat="false" ht="15" hidden="false" customHeight="false" outlineLevel="0" collapsed="false">
      <c r="G58" s="88"/>
    </row>
    <row r="59" customFormat="false" ht="15" hidden="false" customHeight="false" outlineLevel="0" collapsed="false">
      <c r="G59" s="88"/>
    </row>
    <row r="60" customFormat="false" ht="15" hidden="false" customHeight="false" outlineLevel="0" collapsed="false">
      <c r="G60" s="88"/>
    </row>
    <row r="61" customFormat="false" ht="15" hidden="false" customHeight="false" outlineLevel="0" collapsed="false">
      <c r="G61" s="88"/>
    </row>
    <row r="62" customFormat="false" ht="15" hidden="false" customHeight="false" outlineLevel="0" collapsed="false">
      <c r="G62" s="88"/>
    </row>
    <row r="63" customFormat="false" ht="15" hidden="false" customHeight="false" outlineLevel="0" collapsed="false">
      <c r="G63" s="88"/>
    </row>
    <row r="64" customFormat="false" ht="15" hidden="false" customHeight="false" outlineLevel="0" collapsed="false">
      <c r="G64" s="88"/>
    </row>
    <row r="65" customFormat="false" ht="15" hidden="false" customHeight="false" outlineLevel="0" collapsed="false">
      <c r="G65" s="88"/>
    </row>
    <row r="66" customFormat="false" ht="15" hidden="false" customHeight="false" outlineLevel="0" collapsed="false">
      <c r="G66" s="88"/>
    </row>
    <row r="67" customFormat="false" ht="15" hidden="false" customHeight="false" outlineLevel="0" collapsed="false">
      <c r="G67" s="88"/>
    </row>
    <row r="68" customFormat="false" ht="15" hidden="false" customHeight="false" outlineLevel="0" collapsed="false">
      <c r="G68" s="88"/>
    </row>
    <row r="69" customFormat="false" ht="15" hidden="false" customHeight="false" outlineLevel="0" collapsed="false">
      <c r="G69" s="88"/>
    </row>
    <row r="70" customFormat="false" ht="15" hidden="false" customHeight="false" outlineLevel="0" collapsed="false">
      <c r="G70" s="88"/>
    </row>
    <row r="71" customFormat="false" ht="15" hidden="false" customHeight="false" outlineLevel="0" collapsed="false">
      <c r="G71" s="88"/>
    </row>
    <row r="72" customFormat="false" ht="15" hidden="false" customHeight="false" outlineLevel="0" collapsed="false">
      <c r="G72" s="88"/>
    </row>
    <row r="73" customFormat="false" ht="15" hidden="false" customHeight="false" outlineLevel="0" collapsed="false">
      <c r="G73" s="88"/>
    </row>
    <row r="74" customFormat="false" ht="15" hidden="false" customHeight="false" outlineLevel="0" collapsed="false">
      <c r="G74" s="88"/>
    </row>
    <row r="75" customFormat="false" ht="15" hidden="false" customHeight="false" outlineLevel="0" collapsed="false">
      <c r="G75" s="88"/>
    </row>
    <row r="76" customFormat="false" ht="15" hidden="false" customHeight="false" outlineLevel="0" collapsed="false">
      <c r="G76" s="88"/>
    </row>
    <row r="77" customFormat="false" ht="15" hidden="false" customHeight="false" outlineLevel="0" collapsed="false">
      <c r="G77" s="88"/>
    </row>
    <row r="78" customFormat="false" ht="15" hidden="false" customHeight="false" outlineLevel="0" collapsed="false">
      <c r="G78" s="88"/>
    </row>
    <row r="79" customFormat="false" ht="15" hidden="false" customHeight="false" outlineLevel="0" collapsed="false">
      <c r="G79" s="88"/>
    </row>
    <row r="80" customFormat="false" ht="15" hidden="false" customHeight="false" outlineLevel="0" collapsed="false">
      <c r="G80" s="88"/>
    </row>
    <row r="81" customFormat="false" ht="15" hidden="false" customHeight="false" outlineLevel="0" collapsed="false">
      <c r="G81" s="88"/>
    </row>
    <row r="82" customFormat="false" ht="15" hidden="false" customHeight="false" outlineLevel="0" collapsed="false">
      <c r="G82" s="88"/>
    </row>
    <row r="83" customFormat="false" ht="15" hidden="false" customHeight="false" outlineLevel="0" collapsed="false">
      <c r="G83" s="88"/>
    </row>
    <row r="84" customFormat="false" ht="15" hidden="false" customHeight="false" outlineLevel="0" collapsed="false">
      <c r="G84" s="88"/>
    </row>
    <row r="85" customFormat="false" ht="15" hidden="false" customHeight="false" outlineLevel="0" collapsed="false">
      <c r="G85" s="88"/>
    </row>
    <row r="86" customFormat="false" ht="15" hidden="false" customHeight="false" outlineLevel="0" collapsed="false">
      <c r="G86" s="88"/>
    </row>
    <row r="87" customFormat="false" ht="15" hidden="false" customHeight="false" outlineLevel="0" collapsed="false">
      <c r="G87" s="88"/>
    </row>
    <row r="88" customFormat="false" ht="15" hidden="false" customHeight="false" outlineLevel="0" collapsed="false">
      <c r="G88" s="88"/>
    </row>
    <row r="89" customFormat="false" ht="15" hidden="false" customHeight="false" outlineLevel="0" collapsed="false">
      <c r="G89" s="88"/>
    </row>
    <row r="90" customFormat="false" ht="15" hidden="false" customHeight="false" outlineLevel="0" collapsed="false">
      <c r="G90" s="88"/>
    </row>
    <row r="91" customFormat="false" ht="15" hidden="false" customHeight="false" outlineLevel="0" collapsed="false">
      <c r="G91" s="88"/>
    </row>
    <row r="92" customFormat="false" ht="15" hidden="false" customHeight="false" outlineLevel="0" collapsed="false">
      <c r="G92" s="88"/>
    </row>
    <row r="93" customFormat="false" ht="15" hidden="false" customHeight="false" outlineLevel="0" collapsed="false">
      <c r="G93" s="88"/>
    </row>
    <row r="94" customFormat="false" ht="15" hidden="false" customHeight="false" outlineLevel="0" collapsed="false">
      <c r="G94" s="88"/>
    </row>
    <row r="95" customFormat="false" ht="15" hidden="false" customHeight="false" outlineLevel="0" collapsed="false">
      <c r="G95" s="88"/>
    </row>
    <row r="96" customFormat="false" ht="15" hidden="false" customHeight="false" outlineLevel="0" collapsed="false">
      <c r="G96" s="88"/>
    </row>
    <row r="97" customFormat="false" ht="15" hidden="false" customHeight="false" outlineLevel="0" collapsed="false">
      <c r="G97" s="88"/>
    </row>
    <row r="98" customFormat="false" ht="15" hidden="false" customHeight="false" outlineLevel="0" collapsed="false">
      <c r="G98" s="88"/>
    </row>
    <row r="99" customFormat="false" ht="15" hidden="false" customHeight="false" outlineLevel="0" collapsed="false">
      <c r="G99" s="88"/>
    </row>
    <row r="100" customFormat="false" ht="15" hidden="false" customHeight="false" outlineLevel="0" collapsed="false">
      <c r="G100" s="88"/>
    </row>
    <row r="101" customFormat="false" ht="15" hidden="false" customHeight="false" outlineLevel="0" collapsed="false">
      <c r="G101" s="88"/>
    </row>
    <row r="102" customFormat="false" ht="15" hidden="false" customHeight="false" outlineLevel="0" collapsed="false">
      <c r="G102" s="88"/>
    </row>
    <row r="103" customFormat="false" ht="15" hidden="false" customHeight="false" outlineLevel="0" collapsed="false">
      <c r="G103" s="88"/>
    </row>
    <row r="104" customFormat="false" ht="15" hidden="false" customHeight="false" outlineLevel="0" collapsed="false">
      <c r="G104" s="88"/>
    </row>
    <row r="105" customFormat="false" ht="15" hidden="false" customHeight="false" outlineLevel="0" collapsed="false">
      <c r="G105" s="88"/>
    </row>
    <row r="106" customFormat="false" ht="15" hidden="false" customHeight="false" outlineLevel="0" collapsed="false">
      <c r="G106" s="88"/>
    </row>
    <row r="107" customFormat="false" ht="15" hidden="false" customHeight="false" outlineLevel="0" collapsed="false">
      <c r="G107" s="88"/>
    </row>
    <row r="108" customFormat="false" ht="15" hidden="false" customHeight="false" outlineLevel="0" collapsed="false">
      <c r="G108" s="88"/>
    </row>
    <row r="109" customFormat="false" ht="15" hidden="false" customHeight="false" outlineLevel="0" collapsed="false">
      <c r="G109" s="88"/>
    </row>
    <row r="110" customFormat="false" ht="15" hidden="false" customHeight="false" outlineLevel="0" collapsed="false">
      <c r="G110" s="88"/>
    </row>
    <row r="111" customFormat="false" ht="15" hidden="false" customHeight="false" outlineLevel="0" collapsed="false">
      <c r="G111" s="88"/>
    </row>
    <row r="112" customFormat="false" ht="15" hidden="false" customHeight="false" outlineLevel="0" collapsed="false">
      <c r="G112" s="88"/>
    </row>
    <row r="113" customFormat="false" ht="15" hidden="false" customHeight="false" outlineLevel="0" collapsed="false">
      <c r="G113" s="88"/>
    </row>
    <row r="114" customFormat="false" ht="15" hidden="false" customHeight="false" outlineLevel="0" collapsed="false">
      <c r="G114" s="88"/>
    </row>
    <row r="115" customFormat="false" ht="15" hidden="false" customHeight="false" outlineLevel="0" collapsed="false">
      <c r="G115" s="88"/>
    </row>
    <row r="116" customFormat="false" ht="15" hidden="false" customHeight="false" outlineLevel="0" collapsed="false">
      <c r="G116" s="88"/>
    </row>
    <row r="117" customFormat="false" ht="15" hidden="false" customHeight="false" outlineLevel="0" collapsed="false">
      <c r="G117" s="88"/>
    </row>
    <row r="118" customFormat="false" ht="15" hidden="false" customHeight="false" outlineLevel="0" collapsed="false">
      <c r="G118" s="88"/>
    </row>
    <row r="119" customFormat="false" ht="15" hidden="false" customHeight="false" outlineLevel="0" collapsed="false">
      <c r="G119" s="88"/>
    </row>
    <row r="120" customFormat="false" ht="15" hidden="false" customHeight="false" outlineLevel="0" collapsed="false">
      <c r="G120" s="88"/>
    </row>
    <row r="121" customFormat="false" ht="15" hidden="false" customHeight="false" outlineLevel="0" collapsed="false">
      <c r="G121" s="88"/>
    </row>
    <row r="122" customFormat="false" ht="15" hidden="false" customHeight="false" outlineLevel="0" collapsed="false">
      <c r="G122" s="88"/>
    </row>
    <row r="123" customFormat="false" ht="15" hidden="false" customHeight="false" outlineLevel="0" collapsed="false">
      <c r="G123" s="88"/>
    </row>
    <row r="124" customFormat="false" ht="15" hidden="false" customHeight="false" outlineLevel="0" collapsed="false">
      <c r="G124" s="88"/>
    </row>
    <row r="125" customFormat="false" ht="15" hidden="false" customHeight="false" outlineLevel="0" collapsed="false">
      <c r="G125" s="88"/>
    </row>
    <row r="126" customFormat="false" ht="15" hidden="false" customHeight="false" outlineLevel="0" collapsed="false">
      <c r="G126" s="88"/>
    </row>
    <row r="127" customFormat="false" ht="15" hidden="false" customHeight="false" outlineLevel="0" collapsed="false">
      <c r="G127" s="88"/>
    </row>
    <row r="128" customFormat="false" ht="15" hidden="false" customHeight="false" outlineLevel="0" collapsed="false">
      <c r="G128" s="88"/>
    </row>
    <row r="129" customFormat="false" ht="15" hidden="false" customHeight="false" outlineLevel="0" collapsed="false">
      <c r="G129" s="88"/>
    </row>
    <row r="130" customFormat="false" ht="15" hidden="false" customHeight="false" outlineLevel="0" collapsed="false">
      <c r="G130" s="88"/>
    </row>
    <row r="131" customFormat="false" ht="15" hidden="false" customHeight="false" outlineLevel="0" collapsed="false">
      <c r="G131" s="88"/>
    </row>
    <row r="132" customFormat="false" ht="15" hidden="false" customHeight="false" outlineLevel="0" collapsed="false">
      <c r="G132" s="88"/>
    </row>
    <row r="133" customFormat="false" ht="15" hidden="false" customHeight="false" outlineLevel="0" collapsed="false">
      <c r="G133" s="88"/>
    </row>
    <row r="134" customFormat="false" ht="15" hidden="false" customHeight="false" outlineLevel="0" collapsed="false">
      <c r="G134" s="88"/>
    </row>
    <row r="135" customFormat="false" ht="15" hidden="false" customHeight="false" outlineLevel="0" collapsed="false">
      <c r="G135" s="88"/>
    </row>
    <row r="136" customFormat="false" ht="15" hidden="false" customHeight="false" outlineLevel="0" collapsed="false">
      <c r="G136" s="88"/>
    </row>
    <row r="137" customFormat="false" ht="15" hidden="false" customHeight="false" outlineLevel="0" collapsed="false">
      <c r="G137" s="88"/>
    </row>
    <row r="138" customFormat="false" ht="15" hidden="false" customHeight="false" outlineLevel="0" collapsed="false">
      <c r="G138" s="88"/>
    </row>
    <row r="139" customFormat="false" ht="15" hidden="false" customHeight="false" outlineLevel="0" collapsed="false">
      <c r="G139" s="88"/>
    </row>
    <row r="140" customFormat="false" ht="15" hidden="false" customHeight="false" outlineLevel="0" collapsed="false">
      <c r="G140" s="88"/>
    </row>
    <row r="141" customFormat="false" ht="15" hidden="false" customHeight="false" outlineLevel="0" collapsed="false">
      <c r="G141" s="88"/>
    </row>
    <row r="142" customFormat="false" ht="15" hidden="false" customHeight="false" outlineLevel="0" collapsed="false">
      <c r="G142" s="88"/>
    </row>
    <row r="143" customFormat="false" ht="15" hidden="false" customHeight="false" outlineLevel="0" collapsed="false">
      <c r="G143" s="88"/>
    </row>
    <row r="144" customFormat="false" ht="15" hidden="false" customHeight="false" outlineLevel="0" collapsed="false">
      <c r="G144" s="88"/>
    </row>
    <row r="145" customFormat="false" ht="15" hidden="false" customHeight="false" outlineLevel="0" collapsed="false">
      <c r="G145" s="88"/>
    </row>
    <row r="146" customFormat="false" ht="15" hidden="false" customHeight="false" outlineLevel="0" collapsed="false">
      <c r="G146" s="88"/>
    </row>
    <row r="147" customFormat="false" ht="15" hidden="false" customHeight="false" outlineLevel="0" collapsed="false">
      <c r="G147" s="88"/>
    </row>
    <row r="148" customFormat="false" ht="15" hidden="false" customHeight="false" outlineLevel="0" collapsed="false">
      <c r="G148" s="88"/>
    </row>
    <row r="149" customFormat="false" ht="15" hidden="false" customHeight="false" outlineLevel="0" collapsed="false">
      <c r="G149" s="88"/>
    </row>
    <row r="150" customFormat="false" ht="15" hidden="false" customHeight="false" outlineLevel="0" collapsed="false">
      <c r="G150" s="88"/>
    </row>
    <row r="151" customFormat="false" ht="15" hidden="false" customHeight="false" outlineLevel="0" collapsed="false">
      <c r="G151" s="88"/>
    </row>
    <row r="152" customFormat="false" ht="15" hidden="false" customHeight="false" outlineLevel="0" collapsed="false">
      <c r="G152" s="88"/>
    </row>
    <row r="153" customFormat="false" ht="15" hidden="false" customHeight="false" outlineLevel="0" collapsed="false">
      <c r="G153" s="88"/>
    </row>
    <row r="154" customFormat="false" ht="15" hidden="false" customHeight="false" outlineLevel="0" collapsed="false">
      <c r="G154" s="88"/>
    </row>
    <row r="155" customFormat="false" ht="15" hidden="false" customHeight="false" outlineLevel="0" collapsed="false">
      <c r="G155" s="88"/>
    </row>
    <row r="156" customFormat="false" ht="15" hidden="false" customHeight="false" outlineLevel="0" collapsed="false">
      <c r="G156" s="88"/>
    </row>
    <row r="157" customFormat="false" ht="15" hidden="false" customHeight="false" outlineLevel="0" collapsed="false">
      <c r="G157" s="88"/>
    </row>
    <row r="158" customFormat="false" ht="15" hidden="false" customHeight="false" outlineLevel="0" collapsed="false">
      <c r="G158" s="88"/>
    </row>
    <row r="159" customFormat="false" ht="15" hidden="false" customHeight="false" outlineLevel="0" collapsed="false">
      <c r="G159" s="88"/>
    </row>
    <row r="160" customFormat="false" ht="15" hidden="false" customHeight="false" outlineLevel="0" collapsed="false">
      <c r="G160" s="88"/>
    </row>
    <row r="161" customFormat="false" ht="15" hidden="false" customHeight="false" outlineLevel="0" collapsed="false">
      <c r="G161" s="88"/>
    </row>
    <row r="162" customFormat="false" ht="15" hidden="false" customHeight="false" outlineLevel="0" collapsed="false">
      <c r="G162" s="88"/>
    </row>
    <row r="163" customFormat="false" ht="15" hidden="false" customHeight="false" outlineLevel="0" collapsed="false">
      <c r="G163" s="88"/>
    </row>
    <row r="164" customFormat="false" ht="15" hidden="false" customHeight="false" outlineLevel="0" collapsed="false">
      <c r="G164" s="88"/>
    </row>
    <row r="165" customFormat="false" ht="15" hidden="false" customHeight="false" outlineLevel="0" collapsed="false">
      <c r="G165" s="88"/>
    </row>
    <row r="166" customFormat="false" ht="15" hidden="false" customHeight="false" outlineLevel="0" collapsed="false">
      <c r="G166" s="88"/>
    </row>
    <row r="167" customFormat="false" ht="15" hidden="false" customHeight="false" outlineLevel="0" collapsed="false">
      <c r="G167" s="88"/>
    </row>
    <row r="168" customFormat="false" ht="15" hidden="false" customHeight="false" outlineLevel="0" collapsed="false">
      <c r="G168" s="88"/>
    </row>
    <row r="169" customFormat="false" ht="15" hidden="false" customHeight="false" outlineLevel="0" collapsed="false">
      <c r="G169" s="88"/>
    </row>
    <row r="170" customFormat="false" ht="15" hidden="false" customHeight="false" outlineLevel="0" collapsed="false">
      <c r="G170" s="88"/>
    </row>
    <row r="171" customFormat="false" ht="15" hidden="false" customHeight="false" outlineLevel="0" collapsed="false">
      <c r="G171" s="88"/>
    </row>
    <row r="172" customFormat="false" ht="15" hidden="false" customHeight="false" outlineLevel="0" collapsed="false">
      <c r="G172" s="88"/>
    </row>
    <row r="173" customFormat="false" ht="15" hidden="false" customHeight="false" outlineLevel="0" collapsed="false">
      <c r="G173" s="88"/>
    </row>
    <row r="174" customFormat="false" ht="15" hidden="false" customHeight="false" outlineLevel="0" collapsed="false">
      <c r="G174" s="88"/>
    </row>
    <row r="175" customFormat="false" ht="15" hidden="false" customHeight="false" outlineLevel="0" collapsed="false">
      <c r="G175" s="88"/>
    </row>
    <row r="176" customFormat="false" ht="15" hidden="false" customHeight="false" outlineLevel="0" collapsed="false">
      <c r="G176" s="88"/>
    </row>
    <row r="177" customFormat="false" ht="15" hidden="false" customHeight="false" outlineLevel="0" collapsed="false">
      <c r="G177" s="88"/>
    </row>
    <row r="178" customFormat="false" ht="15" hidden="false" customHeight="false" outlineLevel="0" collapsed="false">
      <c r="G178" s="88"/>
    </row>
    <row r="179" customFormat="false" ht="15" hidden="false" customHeight="false" outlineLevel="0" collapsed="false">
      <c r="G179" s="88"/>
    </row>
    <row r="180" customFormat="false" ht="15" hidden="false" customHeight="false" outlineLevel="0" collapsed="false">
      <c r="G180" s="88"/>
    </row>
    <row r="181" customFormat="false" ht="15" hidden="false" customHeight="false" outlineLevel="0" collapsed="false">
      <c r="G181" s="88"/>
    </row>
    <row r="182" customFormat="false" ht="15" hidden="false" customHeight="false" outlineLevel="0" collapsed="false">
      <c r="G182" s="88"/>
    </row>
    <row r="183" customFormat="false" ht="15" hidden="false" customHeight="false" outlineLevel="0" collapsed="false">
      <c r="G183" s="88"/>
    </row>
    <row r="184" customFormat="false" ht="15" hidden="false" customHeight="false" outlineLevel="0" collapsed="false">
      <c r="G184" s="88"/>
    </row>
    <row r="185" customFormat="false" ht="15" hidden="false" customHeight="false" outlineLevel="0" collapsed="false">
      <c r="G185" s="88"/>
    </row>
    <row r="186" customFormat="false" ht="15" hidden="false" customHeight="false" outlineLevel="0" collapsed="false">
      <c r="G186" s="88"/>
    </row>
    <row r="187" customFormat="false" ht="15" hidden="false" customHeight="false" outlineLevel="0" collapsed="false">
      <c r="G187" s="88"/>
    </row>
    <row r="188" customFormat="false" ht="15" hidden="false" customHeight="false" outlineLevel="0" collapsed="false">
      <c r="G188" s="88"/>
    </row>
    <row r="189" customFormat="false" ht="15" hidden="false" customHeight="false" outlineLevel="0" collapsed="false">
      <c r="G189" s="88"/>
    </row>
    <row r="190" customFormat="false" ht="15" hidden="false" customHeight="false" outlineLevel="0" collapsed="false">
      <c r="G190" s="88"/>
    </row>
    <row r="191" customFormat="false" ht="15" hidden="false" customHeight="false" outlineLevel="0" collapsed="false">
      <c r="G191" s="88"/>
    </row>
    <row r="192" customFormat="false" ht="15" hidden="false" customHeight="false" outlineLevel="0" collapsed="false">
      <c r="G192" s="88"/>
    </row>
    <row r="193" customFormat="false" ht="15" hidden="false" customHeight="false" outlineLevel="0" collapsed="false">
      <c r="G193" s="88"/>
    </row>
    <row r="194" customFormat="false" ht="15" hidden="false" customHeight="false" outlineLevel="0" collapsed="false">
      <c r="G194" s="88"/>
    </row>
    <row r="195" customFormat="false" ht="15" hidden="false" customHeight="false" outlineLevel="0" collapsed="false">
      <c r="G195" s="88"/>
    </row>
    <row r="196" customFormat="false" ht="15" hidden="false" customHeight="false" outlineLevel="0" collapsed="false">
      <c r="G196" s="88"/>
    </row>
    <row r="197" customFormat="false" ht="15" hidden="false" customHeight="false" outlineLevel="0" collapsed="false">
      <c r="G197" s="88"/>
    </row>
    <row r="198" customFormat="false" ht="15" hidden="false" customHeight="false" outlineLevel="0" collapsed="false">
      <c r="G198" s="88"/>
    </row>
    <row r="199" customFormat="false" ht="15" hidden="false" customHeight="false" outlineLevel="0" collapsed="false">
      <c r="G199" s="88"/>
    </row>
    <row r="200" customFormat="false" ht="15" hidden="false" customHeight="false" outlineLevel="0" collapsed="false">
      <c r="G200" s="88"/>
    </row>
    <row r="201" customFormat="false" ht="15" hidden="false" customHeight="false" outlineLevel="0" collapsed="false">
      <c r="G201" s="88"/>
    </row>
    <row r="202" customFormat="false" ht="15" hidden="false" customHeight="false" outlineLevel="0" collapsed="false">
      <c r="G202" s="88"/>
    </row>
    <row r="203" customFormat="false" ht="15" hidden="false" customHeight="false" outlineLevel="0" collapsed="false">
      <c r="G203" s="88"/>
    </row>
    <row r="204" customFormat="false" ht="15" hidden="false" customHeight="false" outlineLevel="0" collapsed="false">
      <c r="G204" s="88"/>
    </row>
    <row r="205" customFormat="false" ht="15" hidden="false" customHeight="false" outlineLevel="0" collapsed="false">
      <c r="G205" s="88"/>
    </row>
    <row r="206" customFormat="false" ht="15" hidden="false" customHeight="false" outlineLevel="0" collapsed="false">
      <c r="G206" s="88"/>
    </row>
    <row r="207" customFormat="false" ht="15" hidden="false" customHeight="false" outlineLevel="0" collapsed="false">
      <c r="G207" s="88"/>
    </row>
    <row r="208" customFormat="false" ht="15" hidden="false" customHeight="false" outlineLevel="0" collapsed="false">
      <c r="G208" s="88"/>
    </row>
    <row r="209" customFormat="false" ht="15" hidden="false" customHeight="false" outlineLevel="0" collapsed="false">
      <c r="G209" s="88"/>
    </row>
    <row r="210" customFormat="false" ht="15" hidden="false" customHeight="false" outlineLevel="0" collapsed="false">
      <c r="G210" s="88"/>
    </row>
    <row r="211" customFormat="false" ht="15" hidden="false" customHeight="false" outlineLevel="0" collapsed="false">
      <c r="G211" s="88"/>
    </row>
    <row r="212" customFormat="false" ht="15" hidden="false" customHeight="false" outlineLevel="0" collapsed="false">
      <c r="G212" s="88"/>
    </row>
    <row r="213" customFormat="false" ht="15" hidden="false" customHeight="false" outlineLevel="0" collapsed="false">
      <c r="G213" s="88"/>
    </row>
    <row r="214" customFormat="false" ht="15" hidden="false" customHeight="false" outlineLevel="0" collapsed="false">
      <c r="G214" s="88"/>
    </row>
    <row r="215" customFormat="false" ht="15" hidden="false" customHeight="false" outlineLevel="0" collapsed="false">
      <c r="G215" s="88"/>
    </row>
    <row r="216" customFormat="false" ht="15" hidden="false" customHeight="false" outlineLevel="0" collapsed="false">
      <c r="G216" s="88"/>
    </row>
    <row r="217" customFormat="false" ht="15" hidden="false" customHeight="false" outlineLevel="0" collapsed="false">
      <c r="G217" s="88"/>
    </row>
    <row r="218" customFormat="false" ht="15" hidden="false" customHeight="false" outlineLevel="0" collapsed="false">
      <c r="G218" s="88"/>
    </row>
    <row r="219" customFormat="false" ht="15" hidden="false" customHeight="false" outlineLevel="0" collapsed="false">
      <c r="G219" s="88"/>
    </row>
    <row r="220" customFormat="false" ht="15" hidden="false" customHeight="false" outlineLevel="0" collapsed="false">
      <c r="G220" s="88"/>
    </row>
    <row r="221" customFormat="false" ht="15" hidden="false" customHeight="false" outlineLevel="0" collapsed="false">
      <c r="G221" s="88"/>
    </row>
    <row r="222" customFormat="false" ht="15" hidden="false" customHeight="false" outlineLevel="0" collapsed="false">
      <c r="G222" s="88"/>
    </row>
    <row r="223" customFormat="false" ht="15" hidden="false" customHeight="false" outlineLevel="0" collapsed="false">
      <c r="G223" s="88"/>
    </row>
    <row r="224" customFormat="false" ht="15" hidden="false" customHeight="false" outlineLevel="0" collapsed="false">
      <c r="G224" s="88"/>
    </row>
    <row r="225" customFormat="false" ht="15" hidden="false" customHeight="false" outlineLevel="0" collapsed="false">
      <c r="G225" s="88"/>
    </row>
    <row r="226" customFormat="false" ht="15" hidden="false" customHeight="false" outlineLevel="0" collapsed="false">
      <c r="G226" s="88"/>
    </row>
    <row r="227" customFormat="false" ht="15" hidden="false" customHeight="false" outlineLevel="0" collapsed="false">
      <c r="G227" s="88"/>
    </row>
    <row r="228" customFormat="false" ht="15" hidden="false" customHeight="false" outlineLevel="0" collapsed="false">
      <c r="G228" s="88"/>
    </row>
    <row r="229" customFormat="false" ht="15" hidden="false" customHeight="false" outlineLevel="0" collapsed="false">
      <c r="G229" s="88"/>
    </row>
    <row r="230" customFormat="false" ht="15" hidden="false" customHeight="false" outlineLevel="0" collapsed="false">
      <c r="G230" s="88"/>
    </row>
    <row r="231" customFormat="false" ht="15" hidden="false" customHeight="false" outlineLevel="0" collapsed="false">
      <c r="G231" s="88"/>
    </row>
    <row r="232" customFormat="false" ht="15" hidden="false" customHeight="false" outlineLevel="0" collapsed="false">
      <c r="G232" s="88"/>
    </row>
    <row r="233" customFormat="false" ht="15" hidden="false" customHeight="false" outlineLevel="0" collapsed="false">
      <c r="G233" s="88"/>
    </row>
    <row r="234" customFormat="false" ht="15" hidden="false" customHeight="false" outlineLevel="0" collapsed="false">
      <c r="G234" s="88"/>
    </row>
    <row r="235" customFormat="false" ht="15" hidden="false" customHeight="false" outlineLevel="0" collapsed="false">
      <c r="G235" s="88"/>
    </row>
    <row r="236" customFormat="false" ht="15" hidden="false" customHeight="false" outlineLevel="0" collapsed="false">
      <c r="G236" s="88"/>
    </row>
    <row r="237" customFormat="false" ht="15" hidden="false" customHeight="false" outlineLevel="0" collapsed="false">
      <c r="G237" s="88"/>
    </row>
    <row r="238" customFormat="false" ht="15" hidden="false" customHeight="false" outlineLevel="0" collapsed="false">
      <c r="G238" s="88"/>
    </row>
    <row r="239" customFormat="false" ht="15" hidden="false" customHeight="false" outlineLevel="0" collapsed="false">
      <c r="G239" s="88"/>
    </row>
    <row r="240" customFormat="false" ht="15" hidden="false" customHeight="false" outlineLevel="0" collapsed="false">
      <c r="G240" s="88"/>
    </row>
    <row r="241" customFormat="false" ht="15" hidden="false" customHeight="false" outlineLevel="0" collapsed="false">
      <c r="G241" s="88"/>
    </row>
    <row r="242" customFormat="false" ht="15" hidden="false" customHeight="false" outlineLevel="0" collapsed="false">
      <c r="G242" s="88"/>
    </row>
    <row r="243" customFormat="false" ht="15" hidden="false" customHeight="false" outlineLevel="0" collapsed="false">
      <c r="G243" s="88"/>
    </row>
    <row r="244" customFormat="false" ht="15" hidden="false" customHeight="false" outlineLevel="0" collapsed="false">
      <c r="G244" s="88"/>
    </row>
    <row r="245" customFormat="false" ht="15" hidden="false" customHeight="false" outlineLevel="0" collapsed="false">
      <c r="G245" s="88"/>
    </row>
    <row r="246" customFormat="false" ht="15" hidden="false" customHeight="false" outlineLevel="0" collapsed="false">
      <c r="G246" s="88"/>
    </row>
    <row r="247" customFormat="false" ht="15" hidden="false" customHeight="false" outlineLevel="0" collapsed="false">
      <c r="G247" s="88"/>
    </row>
    <row r="248" customFormat="false" ht="15" hidden="false" customHeight="false" outlineLevel="0" collapsed="false">
      <c r="G248" s="88"/>
    </row>
    <row r="249" customFormat="false" ht="15" hidden="false" customHeight="false" outlineLevel="0" collapsed="false">
      <c r="G249" s="88"/>
    </row>
    <row r="250" customFormat="false" ht="15" hidden="false" customHeight="false" outlineLevel="0" collapsed="false">
      <c r="G250" s="88"/>
    </row>
    <row r="251" customFormat="false" ht="15" hidden="false" customHeight="false" outlineLevel="0" collapsed="false">
      <c r="G251" s="88"/>
    </row>
    <row r="252" customFormat="false" ht="15" hidden="false" customHeight="false" outlineLevel="0" collapsed="false">
      <c r="G252" s="88"/>
    </row>
    <row r="253" customFormat="false" ht="15" hidden="false" customHeight="false" outlineLevel="0" collapsed="false">
      <c r="G253" s="88"/>
    </row>
    <row r="254" customFormat="false" ht="15" hidden="false" customHeight="false" outlineLevel="0" collapsed="false">
      <c r="G254" s="88"/>
    </row>
    <row r="255" customFormat="false" ht="15" hidden="false" customHeight="false" outlineLevel="0" collapsed="false">
      <c r="G255" s="88"/>
    </row>
    <row r="256" customFormat="false" ht="15" hidden="false" customHeight="false" outlineLevel="0" collapsed="false">
      <c r="G256" s="88"/>
    </row>
    <row r="257" customFormat="false" ht="15" hidden="false" customHeight="false" outlineLevel="0" collapsed="false">
      <c r="G257" s="88"/>
    </row>
    <row r="258" customFormat="false" ht="15" hidden="false" customHeight="false" outlineLevel="0" collapsed="false">
      <c r="G258" s="88"/>
    </row>
    <row r="259" customFormat="false" ht="15" hidden="false" customHeight="false" outlineLevel="0" collapsed="false">
      <c r="G259" s="88"/>
    </row>
    <row r="260" customFormat="false" ht="15" hidden="false" customHeight="false" outlineLevel="0" collapsed="false">
      <c r="G260" s="88"/>
    </row>
    <row r="261" customFormat="false" ht="15" hidden="false" customHeight="false" outlineLevel="0" collapsed="false">
      <c r="G261" s="88"/>
    </row>
    <row r="262" customFormat="false" ht="15" hidden="false" customHeight="false" outlineLevel="0" collapsed="false">
      <c r="G262" s="88"/>
    </row>
    <row r="263" customFormat="false" ht="15" hidden="false" customHeight="false" outlineLevel="0" collapsed="false">
      <c r="G263" s="88"/>
    </row>
    <row r="264" customFormat="false" ht="15" hidden="false" customHeight="false" outlineLevel="0" collapsed="false">
      <c r="G264" s="88"/>
    </row>
    <row r="265" customFormat="false" ht="15" hidden="false" customHeight="false" outlineLevel="0" collapsed="false">
      <c r="G265" s="88"/>
    </row>
    <row r="266" customFormat="false" ht="15" hidden="false" customHeight="false" outlineLevel="0" collapsed="false">
      <c r="G266" s="88"/>
    </row>
    <row r="267" customFormat="false" ht="15" hidden="false" customHeight="false" outlineLevel="0" collapsed="false">
      <c r="G267" s="88"/>
    </row>
    <row r="268" customFormat="false" ht="15" hidden="false" customHeight="false" outlineLevel="0" collapsed="false">
      <c r="G268" s="88"/>
    </row>
    <row r="269" customFormat="false" ht="15" hidden="false" customHeight="false" outlineLevel="0" collapsed="false">
      <c r="G269" s="88"/>
    </row>
    <row r="270" customFormat="false" ht="15" hidden="false" customHeight="false" outlineLevel="0" collapsed="false">
      <c r="G270" s="88"/>
    </row>
    <row r="271" customFormat="false" ht="15" hidden="false" customHeight="false" outlineLevel="0" collapsed="false">
      <c r="G271" s="88"/>
    </row>
    <row r="272" customFormat="false" ht="15" hidden="false" customHeight="false" outlineLevel="0" collapsed="false">
      <c r="G272" s="88"/>
    </row>
    <row r="273" customFormat="false" ht="15" hidden="false" customHeight="false" outlineLevel="0" collapsed="false">
      <c r="G273" s="88"/>
    </row>
    <row r="274" customFormat="false" ht="15" hidden="false" customHeight="false" outlineLevel="0" collapsed="false">
      <c r="G274" s="88"/>
    </row>
    <row r="275" customFormat="false" ht="15" hidden="false" customHeight="false" outlineLevel="0" collapsed="false">
      <c r="G275" s="88"/>
    </row>
    <row r="276" customFormat="false" ht="15" hidden="false" customHeight="false" outlineLevel="0" collapsed="false">
      <c r="G276" s="88"/>
    </row>
    <row r="277" customFormat="false" ht="15" hidden="false" customHeight="false" outlineLevel="0" collapsed="false">
      <c r="G277" s="88"/>
    </row>
    <row r="278" customFormat="false" ht="15" hidden="false" customHeight="false" outlineLevel="0" collapsed="false">
      <c r="G278" s="88"/>
    </row>
    <row r="279" customFormat="false" ht="15" hidden="false" customHeight="false" outlineLevel="0" collapsed="false">
      <c r="G279" s="88"/>
    </row>
    <row r="280" customFormat="false" ht="15" hidden="false" customHeight="false" outlineLevel="0" collapsed="false">
      <c r="G280" s="88"/>
    </row>
    <row r="281" customFormat="false" ht="15" hidden="false" customHeight="false" outlineLevel="0" collapsed="false">
      <c r="G281" s="88"/>
    </row>
    <row r="282" customFormat="false" ht="15" hidden="false" customHeight="false" outlineLevel="0" collapsed="false">
      <c r="G282" s="88"/>
    </row>
    <row r="283" customFormat="false" ht="15" hidden="false" customHeight="false" outlineLevel="0" collapsed="false">
      <c r="G283" s="88"/>
    </row>
    <row r="284" customFormat="false" ht="15" hidden="false" customHeight="false" outlineLevel="0" collapsed="false">
      <c r="G284" s="88"/>
    </row>
    <row r="285" customFormat="false" ht="15" hidden="false" customHeight="false" outlineLevel="0" collapsed="false">
      <c r="G285" s="88"/>
    </row>
    <row r="286" customFormat="false" ht="15" hidden="false" customHeight="false" outlineLevel="0" collapsed="false">
      <c r="G286" s="88"/>
    </row>
    <row r="287" customFormat="false" ht="15" hidden="false" customHeight="false" outlineLevel="0" collapsed="false">
      <c r="G287" s="88"/>
    </row>
    <row r="288" customFormat="false" ht="15" hidden="false" customHeight="false" outlineLevel="0" collapsed="false">
      <c r="G288" s="88"/>
    </row>
    <row r="289" customFormat="false" ht="15" hidden="false" customHeight="false" outlineLevel="0" collapsed="false">
      <c r="G289" s="88"/>
    </row>
    <row r="290" customFormat="false" ht="15" hidden="false" customHeight="false" outlineLevel="0" collapsed="false">
      <c r="G290" s="88"/>
    </row>
    <row r="291" customFormat="false" ht="15" hidden="false" customHeight="false" outlineLevel="0" collapsed="false">
      <c r="G291" s="88"/>
    </row>
    <row r="292" customFormat="false" ht="15" hidden="false" customHeight="false" outlineLevel="0" collapsed="false">
      <c r="G292" s="88"/>
    </row>
    <row r="293" customFormat="false" ht="15" hidden="false" customHeight="false" outlineLevel="0" collapsed="false">
      <c r="G293" s="88"/>
    </row>
    <row r="294" customFormat="false" ht="15" hidden="false" customHeight="false" outlineLevel="0" collapsed="false">
      <c r="G294" s="88"/>
    </row>
    <row r="295" customFormat="false" ht="15" hidden="false" customHeight="false" outlineLevel="0" collapsed="false">
      <c r="G295" s="88"/>
    </row>
    <row r="296" customFormat="false" ht="15" hidden="false" customHeight="false" outlineLevel="0" collapsed="false">
      <c r="G296" s="88"/>
    </row>
    <row r="297" customFormat="false" ht="15" hidden="false" customHeight="false" outlineLevel="0" collapsed="false">
      <c r="G297" s="88"/>
    </row>
    <row r="298" customFormat="false" ht="15" hidden="false" customHeight="false" outlineLevel="0" collapsed="false">
      <c r="G298" s="88"/>
    </row>
    <row r="299" customFormat="false" ht="15" hidden="false" customHeight="false" outlineLevel="0" collapsed="false">
      <c r="G299" s="88"/>
    </row>
    <row r="300" customFormat="false" ht="15" hidden="false" customHeight="false" outlineLevel="0" collapsed="false">
      <c r="G300" s="88"/>
    </row>
    <row r="301" customFormat="false" ht="15" hidden="false" customHeight="false" outlineLevel="0" collapsed="false">
      <c r="G301" s="88"/>
    </row>
    <row r="302" customFormat="false" ht="15" hidden="false" customHeight="false" outlineLevel="0" collapsed="false">
      <c r="G302" s="88"/>
    </row>
    <row r="303" customFormat="false" ht="15" hidden="false" customHeight="false" outlineLevel="0" collapsed="false">
      <c r="G303" s="88"/>
    </row>
    <row r="304" customFormat="false" ht="15" hidden="false" customHeight="false" outlineLevel="0" collapsed="false">
      <c r="G304" s="88"/>
    </row>
    <row r="305" customFormat="false" ht="15" hidden="false" customHeight="false" outlineLevel="0" collapsed="false">
      <c r="G305" s="88"/>
    </row>
    <row r="306" customFormat="false" ht="15" hidden="false" customHeight="false" outlineLevel="0" collapsed="false">
      <c r="G306" s="88"/>
    </row>
    <row r="307" customFormat="false" ht="15" hidden="false" customHeight="false" outlineLevel="0" collapsed="false">
      <c r="G307" s="88"/>
    </row>
    <row r="308" customFormat="false" ht="15" hidden="false" customHeight="false" outlineLevel="0" collapsed="false">
      <c r="G308" s="88"/>
    </row>
    <row r="309" customFormat="false" ht="15" hidden="false" customHeight="false" outlineLevel="0" collapsed="false">
      <c r="G309" s="88"/>
    </row>
    <row r="310" customFormat="false" ht="15" hidden="false" customHeight="false" outlineLevel="0" collapsed="false">
      <c r="G310" s="88"/>
    </row>
    <row r="311" customFormat="false" ht="15" hidden="false" customHeight="false" outlineLevel="0" collapsed="false">
      <c r="G311" s="88"/>
    </row>
    <row r="312" customFormat="false" ht="15" hidden="false" customHeight="false" outlineLevel="0" collapsed="false">
      <c r="G312" s="88"/>
    </row>
    <row r="313" customFormat="false" ht="15" hidden="false" customHeight="false" outlineLevel="0" collapsed="false">
      <c r="G313" s="88"/>
    </row>
    <row r="314" customFormat="false" ht="15" hidden="false" customHeight="false" outlineLevel="0" collapsed="false">
      <c r="G314" s="88"/>
    </row>
    <row r="315" customFormat="false" ht="15" hidden="false" customHeight="false" outlineLevel="0" collapsed="false">
      <c r="G315" s="88"/>
    </row>
    <row r="316" customFormat="false" ht="15" hidden="false" customHeight="false" outlineLevel="0" collapsed="false">
      <c r="G316" s="88"/>
    </row>
    <row r="317" customFormat="false" ht="15" hidden="false" customHeight="false" outlineLevel="0" collapsed="false">
      <c r="G317" s="88"/>
    </row>
    <row r="318" customFormat="false" ht="15" hidden="false" customHeight="false" outlineLevel="0" collapsed="false">
      <c r="G318" s="88"/>
    </row>
    <row r="319" customFormat="false" ht="15" hidden="false" customHeight="false" outlineLevel="0" collapsed="false">
      <c r="G319" s="88"/>
    </row>
    <row r="320" customFormat="false" ht="15" hidden="false" customHeight="false" outlineLevel="0" collapsed="false">
      <c r="G320" s="88"/>
    </row>
    <row r="321" customFormat="false" ht="15" hidden="false" customHeight="false" outlineLevel="0" collapsed="false">
      <c r="G321" s="88"/>
    </row>
    <row r="322" customFormat="false" ht="15" hidden="false" customHeight="false" outlineLevel="0" collapsed="false">
      <c r="G322" s="88"/>
    </row>
    <row r="323" customFormat="false" ht="15" hidden="false" customHeight="false" outlineLevel="0" collapsed="false">
      <c r="G323" s="88"/>
    </row>
    <row r="324" customFormat="false" ht="15" hidden="false" customHeight="false" outlineLevel="0" collapsed="false">
      <c r="G324" s="88"/>
    </row>
    <row r="325" customFormat="false" ht="15" hidden="false" customHeight="false" outlineLevel="0" collapsed="false">
      <c r="G325" s="88"/>
    </row>
    <row r="326" customFormat="false" ht="15" hidden="false" customHeight="false" outlineLevel="0" collapsed="false">
      <c r="G326" s="88"/>
    </row>
    <row r="327" customFormat="false" ht="15" hidden="false" customHeight="false" outlineLevel="0" collapsed="false">
      <c r="G327" s="88"/>
    </row>
    <row r="328" customFormat="false" ht="15" hidden="false" customHeight="false" outlineLevel="0" collapsed="false">
      <c r="G328" s="88"/>
    </row>
    <row r="329" customFormat="false" ht="15" hidden="false" customHeight="false" outlineLevel="0" collapsed="false">
      <c r="G329" s="88"/>
    </row>
    <row r="330" customFormat="false" ht="15" hidden="false" customHeight="false" outlineLevel="0" collapsed="false">
      <c r="G330" s="88"/>
    </row>
    <row r="331" customFormat="false" ht="15" hidden="false" customHeight="false" outlineLevel="0" collapsed="false">
      <c r="G331" s="88"/>
    </row>
    <row r="332" customFormat="false" ht="15" hidden="false" customHeight="false" outlineLevel="0" collapsed="false">
      <c r="G332" s="88"/>
    </row>
    <row r="333" customFormat="false" ht="15" hidden="false" customHeight="false" outlineLevel="0" collapsed="false">
      <c r="G333" s="88"/>
    </row>
    <row r="334" customFormat="false" ht="15" hidden="false" customHeight="false" outlineLevel="0" collapsed="false">
      <c r="G334" s="88"/>
    </row>
    <row r="335" customFormat="false" ht="15" hidden="false" customHeight="false" outlineLevel="0" collapsed="false">
      <c r="G335" s="88"/>
    </row>
    <row r="336" customFormat="false" ht="15" hidden="false" customHeight="false" outlineLevel="0" collapsed="false">
      <c r="G336" s="88"/>
    </row>
    <row r="337" customFormat="false" ht="15" hidden="false" customHeight="false" outlineLevel="0" collapsed="false">
      <c r="G337" s="88"/>
    </row>
    <row r="338" customFormat="false" ht="15" hidden="false" customHeight="false" outlineLevel="0" collapsed="false">
      <c r="G338" s="88"/>
    </row>
    <row r="339" customFormat="false" ht="15" hidden="false" customHeight="false" outlineLevel="0" collapsed="false">
      <c r="G339" s="88"/>
    </row>
    <row r="340" customFormat="false" ht="15" hidden="false" customHeight="false" outlineLevel="0" collapsed="false">
      <c r="G340" s="88"/>
    </row>
    <row r="341" customFormat="false" ht="15" hidden="false" customHeight="false" outlineLevel="0" collapsed="false">
      <c r="G341" s="88"/>
    </row>
    <row r="342" customFormat="false" ht="15" hidden="false" customHeight="false" outlineLevel="0" collapsed="false">
      <c r="G342" s="88"/>
    </row>
    <row r="343" customFormat="false" ht="15" hidden="false" customHeight="false" outlineLevel="0" collapsed="false">
      <c r="G343" s="88"/>
    </row>
    <row r="344" customFormat="false" ht="15" hidden="false" customHeight="false" outlineLevel="0" collapsed="false">
      <c r="G344" s="88"/>
    </row>
    <row r="345" customFormat="false" ht="15" hidden="false" customHeight="false" outlineLevel="0" collapsed="false">
      <c r="G345" s="88"/>
    </row>
    <row r="346" customFormat="false" ht="15" hidden="false" customHeight="false" outlineLevel="0" collapsed="false">
      <c r="G346" s="88"/>
    </row>
    <row r="347" customFormat="false" ht="15" hidden="false" customHeight="false" outlineLevel="0" collapsed="false">
      <c r="G347" s="88"/>
    </row>
    <row r="348" customFormat="false" ht="15" hidden="false" customHeight="false" outlineLevel="0" collapsed="false">
      <c r="G348" s="88"/>
    </row>
    <row r="349" customFormat="false" ht="15" hidden="false" customHeight="false" outlineLevel="0" collapsed="false">
      <c r="G349" s="88"/>
    </row>
    <row r="350" customFormat="false" ht="15" hidden="false" customHeight="false" outlineLevel="0" collapsed="false">
      <c r="G350" s="88"/>
    </row>
    <row r="351" customFormat="false" ht="15" hidden="false" customHeight="false" outlineLevel="0" collapsed="false">
      <c r="G351" s="88"/>
    </row>
    <row r="352" customFormat="false" ht="15" hidden="false" customHeight="false" outlineLevel="0" collapsed="false">
      <c r="G352" s="88"/>
    </row>
    <row r="353" customFormat="false" ht="15" hidden="false" customHeight="false" outlineLevel="0" collapsed="false">
      <c r="G353" s="88"/>
    </row>
    <row r="354" customFormat="false" ht="15" hidden="false" customHeight="false" outlineLevel="0" collapsed="false">
      <c r="G354" s="88"/>
    </row>
    <row r="355" customFormat="false" ht="15" hidden="false" customHeight="false" outlineLevel="0" collapsed="false">
      <c r="G355" s="88"/>
    </row>
    <row r="356" customFormat="false" ht="15" hidden="false" customHeight="false" outlineLevel="0" collapsed="false">
      <c r="G356" s="88"/>
    </row>
    <row r="357" customFormat="false" ht="15" hidden="false" customHeight="false" outlineLevel="0" collapsed="false">
      <c r="G357" s="88"/>
    </row>
    <row r="358" customFormat="false" ht="15" hidden="false" customHeight="false" outlineLevel="0" collapsed="false">
      <c r="G358" s="88"/>
    </row>
    <row r="359" customFormat="false" ht="15" hidden="false" customHeight="false" outlineLevel="0" collapsed="false">
      <c r="G359" s="88"/>
    </row>
    <row r="360" customFormat="false" ht="15" hidden="false" customHeight="false" outlineLevel="0" collapsed="false">
      <c r="G360" s="88"/>
    </row>
    <row r="361" customFormat="false" ht="15" hidden="false" customHeight="false" outlineLevel="0" collapsed="false">
      <c r="G361" s="88"/>
    </row>
    <row r="362" customFormat="false" ht="15" hidden="false" customHeight="false" outlineLevel="0" collapsed="false">
      <c r="G362" s="88"/>
    </row>
    <row r="363" customFormat="false" ht="15" hidden="false" customHeight="false" outlineLevel="0" collapsed="false">
      <c r="G363" s="88"/>
    </row>
    <row r="364" customFormat="false" ht="15" hidden="false" customHeight="false" outlineLevel="0" collapsed="false">
      <c r="G364" s="88"/>
    </row>
    <row r="365" customFormat="false" ht="15" hidden="false" customHeight="false" outlineLevel="0" collapsed="false">
      <c r="G365" s="88"/>
    </row>
    <row r="366" customFormat="false" ht="15" hidden="false" customHeight="false" outlineLevel="0" collapsed="false">
      <c r="G366" s="88"/>
    </row>
    <row r="367" customFormat="false" ht="15" hidden="false" customHeight="false" outlineLevel="0" collapsed="false">
      <c r="G367" s="88"/>
    </row>
    <row r="368" customFormat="false" ht="15" hidden="false" customHeight="false" outlineLevel="0" collapsed="false">
      <c r="G368" s="88"/>
    </row>
    <row r="369" customFormat="false" ht="15" hidden="false" customHeight="false" outlineLevel="0" collapsed="false">
      <c r="G369" s="88"/>
    </row>
    <row r="370" customFormat="false" ht="15" hidden="false" customHeight="false" outlineLevel="0" collapsed="false">
      <c r="G370" s="88"/>
    </row>
    <row r="371" customFormat="false" ht="15" hidden="false" customHeight="false" outlineLevel="0" collapsed="false">
      <c r="G371" s="88"/>
    </row>
    <row r="372" customFormat="false" ht="15" hidden="false" customHeight="false" outlineLevel="0" collapsed="false">
      <c r="G372" s="88"/>
    </row>
    <row r="373" customFormat="false" ht="15" hidden="false" customHeight="false" outlineLevel="0" collapsed="false">
      <c r="G373" s="88"/>
    </row>
    <row r="374" customFormat="false" ht="15" hidden="false" customHeight="false" outlineLevel="0" collapsed="false">
      <c r="G374" s="88"/>
    </row>
    <row r="375" customFormat="false" ht="15" hidden="false" customHeight="false" outlineLevel="0" collapsed="false">
      <c r="G375" s="88"/>
    </row>
    <row r="376" customFormat="false" ht="15" hidden="false" customHeight="false" outlineLevel="0" collapsed="false">
      <c r="G376" s="88"/>
    </row>
    <row r="377" customFormat="false" ht="15" hidden="false" customHeight="false" outlineLevel="0" collapsed="false">
      <c r="G377" s="88"/>
    </row>
    <row r="378" customFormat="false" ht="15" hidden="false" customHeight="false" outlineLevel="0" collapsed="false">
      <c r="G378" s="88"/>
    </row>
    <row r="379" customFormat="false" ht="15" hidden="false" customHeight="false" outlineLevel="0" collapsed="false">
      <c r="G379" s="88"/>
    </row>
    <row r="380" customFormat="false" ht="15" hidden="false" customHeight="false" outlineLevel="0" collapsed="false">
      <c r="G380" s="88"/>
    </row>
    <row r="381" customFormat="false" ht="15" hidden="false" customHeight="false" outlineLevel="0" collapsed="false">
      <c r="G381" s="88"/>
    </row>
    <row r="382" customFormat="false" ht="15" hidden="false" customHeight="false" outlineLevel="0" collapsed="false">
      <c r="G382" s="88"/>
    </row>
    <row r="383" customFormat="false" ht="15" hidden="false" customHeight="false" outlineLevel="0" collapsed="false">
      <c r="G383" s="88"/>
    </row>
    <row r="384" customFormat="false" ht="15" hidden="false" customHeight="false" outlineLevel="0" collapsed="false">
      <c r="G384" s="88"/>
    </row>
    <row r="385" customFormat="false" ht="15" hidden="false" customHeight="false" outlineLevel="0" collapsed="false">
      <c r="G385" s="88"/>
    </row>
    <row r="386" customFormat="false" ht="15" hidden="false" customHeight="false" outlineLevel="0" collapsed="false">
      <c r="G386" s="88"/>
    </row>
    <row r="387" customFormat="false" ht="15" hidden="false" customHeight="false" outlineLevel="0" collapsed="false">
      <c r="G387" s="88"/>
    </row>
    <row r="388" customFormat="false" ht="15" hidden="false" customHeight="false" outlineLevel="0" collapsed="false">
      <c r="G388" s="88"/>
    </row>
    <row r="389" customFormat="false" ht="15" hidden="false" customHeight="false" outlineLevel="0" collapsed="false">
      <c r="G389" s="88"/>
    </row>
    <row r="390" customFormat="false" ht="15" hidden="false" customHeight="false" outlineLevel="0" collapsed="false">
      <c r="G390" s="88"/>
    </row>
    <row r="391" customFormat="false" ht="15" hidden="false" customHeight="false" outlineLevel="0" collapsed="false">
      <c r="G391" s="88"/>
    </row>
    <row r="392" customFormat="false" ht="15" hidden="false" customHeight="false" outlineLevel="0" collapsed="false">
      <c r="G392" s="88"/>
    </row>
    <row r="393" customFormat="false" ht="15" hidden="false" customHeight="false" outlineLevel="0" collapsed="false">
      <c r="G393" s="88"/>
    </row>
    <row r="394" customFormat="false" ht="15" hidden="false" customHeight="false" outlineLevel="0" collapsed="false">
      <c r="G394" s="88"/>
    </row>
    <row r="395" customFormat="false" ht="15" hidden="false" customHeight="false" outlineLevel="0" collapsed="false">
      <c r="G395" s="88"/>
    </row>
    <row r="396" customFormat="false" ht="15" hidden="false" customHeight="false" outlineLevel="0" collapsed="false">
      <c r="G396" s="88"/>
    </row>
    <row r="397" customFormat="false" ht="15" hidden="false" customHeight="false" outlineLevel="0" collapsed="false">
      <c r="G397" s="88"/>
    </row>
    <row r="398" customFormat="false" ht="15" hidden="false" customHeight="false" outlineLevel="0" collapsed="false">
      <c r="G398" s="88"/>
    </row>
    <row r="399" customFormat="false" ht="15" hidden="false" customHeight="false" outlineLevel="0" collapsed="false">
      <c r="G399" s="88"/>
    </row>
    <row r="400" customFormat="false" ht="15" hidden="false" customHeight="false" outlineLevel="0" collapsed="false">
      <c r="G400" s="88"/>
    </row>
    <row r="401" customFormat="false" ht="15" hidden="false" customHeight="false" outlineLevel="0" collapsed="false">
      <c r="G401" s="88"/>
    </row>
    <row r="402" customFormat="false" ht="15" hidden="false" customHeight="false" outlineLevel="0" collapsed="false">
      <c r="G402" s="88"/>
    </row>
    <row r="403" customFormat="false" ht="15" hidden="false" customHeight="false" outlineLevel="0" collapsed="false">
      <c r="G403" s="88"/>
    </row>
    <row r="404" customFormat="false" ht="15" hidden="false" customHeight="false" outlineLevel="0" collapsed="false">
      <c r="G404" s="88"/>
    </row>
    <row r="405" customFormat="false" ht="15" hidden="false" customHeight="false" outlineLevel="0" collapsed="false">
      <c r="G405" s="88"/>
    </row>
    <row r="406" customFormat="false" ht="15" hidden="false" customHeight="false" outlineLevel="0" collapsed="false">
      <c r="G406" s="88"/>
    </row>
    <row r="407" customFormat="false" ht="15" hidden="false" customHeight="false" outlineLevel="0" collapsed="false">
      <c r="G407" s="88"/>
    </row>
    <row r="408" customFormat="false" ht="15" hidden="false" customHeight="false" outlineLevel="0" collapsed="false">
      <c r="G408" s="88"/>
    </row>
    <row r="409" customFormat="false" ht="15" hidden="false" customHeight="false" outlineLevel="0" collapsed="false">
      <c r="G409" s="88"/>
    </row>
    <row r="410" customFormat="false" ht="15" hidden="false" customHeight="false" outlineLevel="0" collapsed="false">
      <c r="G410" s="88"/>
    </row>
    <row r="411" customFormat="false" ht="15" hidden="false" customHeight="false" outlineLevel="0" collapsed="false">
      <c r="G411" s="88"/>
    </row>
    <row r="412" customFormat="false" ht="15" hidden="false" customHeight="false" outlineLevel="0" collapsed="false">
      <c r="G412" s="88"/>
    </row>
    <row r="413" customFormat="false" ht="15" hidden="false" customHeight="false" outlineLevel="0" collapsed="false">
      <c r="G413" s="88"/>
    </row>
    <row r="414" customFormat="false" ht="15" hidden="false" customHeight="false" outlineLevel="0" collapsed="false">
      <c r="G414" s="88"/>
    </row>
    <row r="415" customFormat="false" ht="15" hidden="false" customHeight="false" outlineLevel="0" collapsed="false">
      <c r="G415" s="88"/>
    </row>
    <row r="416" customFormat="false" ht="15" hidden="false" customHeight="false" outlineLevel="0" collapsed="false">
      <c r="G416" s="88"/>
    </row>
    <row r="417" customFormat="false" ht="15" hidden="false" customHeight="false" outlineLevel="0" collapsed="false">
      <c r="G417" s="88"/>
    </row>
    <row r="418" customFormat="false" ht="15" hidden="false" customHeight="false" outlineLevel="0" collapsed="false">
      <c r="G418" s="88"/>
    </row>
    <row r="419" customFormat="false" ht="15" hidden="false" customHeight="false" outlineLevel="0" collapsed="false">
      <c r="G419" s="88"/>
    </row>
    <row r="420" customFormat="false" ht="15" hidden="false" customHeight="false" outlineLevel="0" collapsed="false">
      <c r="G420" s="88"/>
    </row>
    <row r="421" customFormat="false" ht="15" hidden="false" customHeight="false" outlineLevel="0" collapsed="false">
      <c r="G421" s="88"/>
    </row>
    <row r="422" customFormat="false" ht="15" hidden="false" customHeight="false" outlineLevel="0" collapsed="false">
      <c r="G422" s="88"/>
    </row>
    <row r="423" customFormat="false" ht="15" hidden="false" customHeight="false" outlineLevel="0" collapsed="false">
      <c r="G423" s="88"/>
    </row>
    <row r="424" customFormat="false" ht="15" hidden="false" customHeight="false" outlineLevel="0" collapsed="false">
      <c r="G424" s="88"/>
    </row>
    <row r="425" customFormat="false" ht="15" hidden="false" customHeight="false" outlineLevel="0" collapsed="false">
      <c r="G425" s="88"/>
    </row>
    <row r="426" customFormat="false" ht="15" hidden="false" customHeight="false" outlineLevel="0" collapsed="false">
      <c r="G426" s="88"/>
    </row>
    <row r="427" customFormat="false" ht="15" hidden="false" customHeight="false" outlineLevel="0" collapsed="false">
      <c r="G427" s="88"/>
    </row>
    <row r="428" customFormat="false" ht="15" hidden="false" customHeight="false" outlineLevel="0" collapsed="false">
      <c r="G428" s="88"/>
    </row>
    <row r="429" customFormat="false" ht="15" hidden="false" customHeight="false" outlineLevel="0" collapsed="false">
      <c r="G429" s="88"/>
    </row>
    <row r="430" customFormat="false" ht="15" hidden="false" customHeight="false" outlineLevel="0" collapsed="false">
      <c r="G430" s="88"/>
    </row>
    <row r="431" customFormat="false" ht="15" hidden="false" customHeight="false" outlineLevel="0" collapsed="false">
      <c r="G431" s="88"/>
    </row>
    <row r="432" customFormat="false" ht="15" hidden="false" customHeight="false" outlineLevel="0" collapsed="false">
      <c r="G432" s="88"/>
    </row>
    <row r="433" customFormat="false" ht="15" hidden="false" customHeight="false" outlineLevel="0" collapsed="false">
      <c r="G433" s="88"/>
    </row>
    <row r="434" customFormat="false" ht="15" hidden="false" customHeight="false" outlineLevel="0" collapsed="false">
      <c r="G434" s="88"/>
    </row>
    <row r="435" customFormat="false" ht="15" hidden="false" customHeight="false" outlineLevel="0" collapsed="false">
      <c r="G435" s="88"/>
    </row>
    <row r="436" customFormat="false" ht="15" hidden="false" customHeight="false" outlineLevel="0" collapsed="false">
      <c r="G436" s="88"/>
    </row>
    <row r="437" customFormat="false" ht="15" hidden="false" customHeight="false" outlineLevel="0" collapsed="false">
      <c r="G437" s="88"/>
    </row>
    <row r="438" customFormat="false" ht="15" hidden="false" customHeight="false" outlineLevel="0" collapsed="false">
      <c r="G438" s="88"/>
    </row>
    <row r="439" customFormat="false" ht="15" hidden="false" customHeight="false" outlineLevel="0" collapsed="false">
      <c r="G439" s="88"/>
    </row>
    <row r="440" customFormat="false" ht="15" hidden="false" customHeight="false" outlineLevel="0" collapsed="false">
      <c r="G440" s="88"/>
    </row>
    <row r="441" customFormat="false" ht="15" hidden="false" customHeight="false" outlineLevel="0" collapsed="false">
      <c r="G441" s="88"/>
    </row>
    <row r="442" customFormat="false" ht="15" hidden="false" customHeight="false" outlineLevel="0" collapsed="false">
      <c r="G442" s="88"/>
    </row>
    <row r="443" customFormat="false" ht="15" hidden="false" customHeight="false" outlineLevel="0" collapsed="false">
      <c r="G443" s="88"/>
    </row>
    <row r="444" customFormat="false" ht="15" hidden="false" customHeight="false" outlineLevel="0" collapsed="false">
      <c r="G444" s="88"/>
    </row>
    <row r="445" customFormat="false" ht="15" hidden="false" customHeight="false" outlineLevel="0" collapsed="false">
      <c r="G445" s="88"/>
    </row>
    <row r="446" customFormat="false" ht="15" hidden="false" customHeight="false" outlineLevel="0" collapsed="false">
      <c r="G446" s="88"/>
    </row>
    <row r="447" customFormat="false" ht="15" hidden="false" customHeight="false" outlineLevel="0" collapsed="false">
      <c r="G447" s="88"/>
    </row>
    <row r="448" customFormat="false" ht="15" hidden="false" customHeight="false" outlineLevel="0" collapsed="false">
      <c r="G448" s="88"/>
    </row>
    <row r="449" customFormat="false" ht="15" hidden="false" customHeight="false" outlineLevel="0" collapsed="false">
      <c r="G449" s="88"/>
    </row>
    <row r="450" customFormat="false" ht="15" hidden="false" customHeight="false" outlineLevel="0" collapsed="false">
      <c r="G450" s="88"/>
    </row>
    <row r="451" customFormat="false" ht="15" hidden="false" customHeight="false" outlineLevel="0" collapsed="false">
      <c r="G451" s="88"/>
    </row>
    <row r="452" customFormat="false" ht="15" hidden="false" customHeight="false" outlineLevel="0" collapsed="false">
      <c r="G452" s="88"/>
    </row>
    <row r="453" customFormat="false" ht="15" hidden="false" customHeight="false" outlineLevel="0" collapsed="false">
      <c r="G453" s="88"/>
    </row>
    <row r="454" customFormat="false" ht="15" hidden="false" customHeight="false" outlineLevel="0" collapsed="false">
      <c r="G454" s="88"/>
    </row>
    <row r="455" customFormat="false" ht="15" hidden="false" customHeight="false" outlineLevel="0" collapsed="false">
      <c r="G455" s="88"/>
    </row>
    <row r="456" customFormat="false" ht="15" hidden="false" customHeight="false" outlineLevel="0" collapsed="false">
      <c r="G456" s="88"/>
    </row>
    <row r="457" customFormat="false" ht="15" hidden="false" customHeight="false" outlineLevel="0" collapsed="false">
      <c r="G457" s="88"/>
    </row>
    <row r="458" customFormat="false" ht="15" hidden="false" customHeight="false" outlineLevel="0" collapsed="false">
      <c r="G458" s="88"/>
    </row>
    <row r="459" customFormat="false" ht="15" hidden="false" customHeight="false" outlineLevel="0" collapsed="false">
      <c r="G459" s="88"/>
    </row>
    <row r="460" customFormat="false" ht="15" hidden="false" customHeight="false" outlineLevel="0" collapsed="false">
      <c r="G460" s="88"/>
    </row>
    <row r="461" customFormat="false" ht="15" hidden="false" customHeight="false" outlineLevel="0" collapsed="false">
      <c r="G461" s="88"/>
    </row>
    <row r="462" customFormat="false" ht="15" hidden="false" customHeight="false" outlineLevel="0" collapsed="false">
      <c r="G462" s="88"/>
    </row>
    <row r="463" customFormat="false" ht="15" hidden="false" customHeight="false" outlineLevel="0" collapsed="false">
      <c r="G463" s="88"/>
    </row>
    <row r="464" customFormat="false" ht="15" hidden="false" customHeight="false" outlineLevel="0" collapsed="false">
      <c r="G464" s="88"/>
    </row>
    <row r="465" customFormat="false" ht="15" hidden="false" customHeight="false" outlineLevel="0" collapsed="false">
      <c r="G465" s="88"/>
    </row>
    <row r="466" customFormat="false" ht="15" hidden="false" customHeight="false" outlineLevel="0" collapsed="false">
      <c r="G466" s="88"/>
    </row>
    <row r="467" customFormat="false" ht="15" hidden="false" customHeight="false" outlineLevel="0" collapsed="false">
      <c r="G467" s="88"/>
    </row>
    <row r="468" customFormat="false" ht="15" hidden="false" customHeight="false" outlineLevel="0" collapsed="false">
      <c r="G468" s="88"/>
    </row>
    <row r="469" customFormat="false" ht="15" hidden="false" customHeight="false" outlineLevel="0" collapsed="false">
      <c r="G469" s="88"/>
    </row>
    <row r="470" customFormat="false" ht="15" hidden="false" customHeight="false" outlineLevel="0" collapsed="false">
      <c r="G470" s="88"/>
    </row>
    <row r="471" customFormat="false" ht="15" hidden="false" customHeight="false" outlineLevel="0" collapsed="false">
      <c r="G471" s="88"/>
    </row>
    <row r="472" customFormat="false" ht="15" hidden="false" customHeight="false" outlineLevel="0" collapsed="false">
      <c r="G472" s="88"/>
    </row>
    <row r="473" customFormat="false" ht="15" hidden="false" customHeight="false" outlineLevel="0" collapsed="false">
      <c r="G473" s="88"/>
    </row>
    <row r="474" customFormat="false" ht="15" hidden="false" customHeight="false" outlineLevel="0" collapsed="false">
      <c r="G474" s="88"/>
    </row>
    <row r="475" customFormat="false" ht="15" hidden="false" customHeight="false" outlineLevel="0" collapsed="false">
      <c r="G475" s="88"/>
    </row>
    <row r="476" customFormat="false" ht="15" hidden="false" customHeight="false" outlineLevel="0" collapsed="false">
      <c r="G476" s="88"/>
    </row>
    <row r="477" customFormat="false" ht="15" hidden="false" customHeight="false" outlineLevel="0" collapsed="false">
      <c r="G477" s="88"/>
    </row>
    <row r="478" customFormat="false" ht="15" hidden="false" customHeight="false" outlineLevel="0" collapsed="false">
      <c r="G478" s="88"/>
    </row>
    <row r="479" customFormat="false" ht="15" hidden="false" customHeight="false" outlineLevel="0" collapsed="false">
      <c r="G479" s="88"/>
    </row>
    <row r="480" customFormat="false" ht="15" hidden="false" customHeight="false" outlineLevel="0" collapsed="false">
      <c r="G480" s="88"/>
    </row>
    <row r="481" customFormat="false" ht="15" hidden="false" customHeight="false" outlineLevel="0" collapsed="false">
      <c r="G481" s="88"/>
    </row>
    <row r="482" customFormat="false" ht="15" hidden="false" customHeight="false" outlineLevel="0" collapsed="false">
      <c r="G482" s="88"/>
    </row>
    <row r="483" customFormat="false" ht="15" hidden="false" customHeight="false" outlineLevel="0" collapsed="false">
      <c r="G483" s="88"/>
    </row>
    <row r="484" customFormat="false" ht="15" hidden="false" customHeight="false" outlineLevel="0" collapsed="false">
      <c r="G484" s="88"/>
    </row>
    <row r="485" customFormat="false" ht="15" hidden="false" customHeight="false" outlineLevel="0" collapsed="false">
      <c r="G485" s="88"/>
    </row>
    <row r="486" customFormat="false" ht="15" hidden="false" customHeight="false" outlineLevel="0" collapsed="false">
      <c r="G486" s="88"/>
    </row>
    <row r="487" customFormat="false" ht="15" hidden="false" customHeight="false" outlineLevel="0" collapsed="false">
      <c r="G487" s="88"/>
    </row>
    <row r="488" customFormat="false" ht="15" hidden="false" customHeight="false" outlineLevel="0" collapsed="false">
      <c r="G488" s="88"/>
    </row>
    <row r="489" customFormat="false" ht="15" hidden="false" customHeight="false" outlineLevel="0" collapsed="false">
      <c r="G489" s="88"/>
    </row>
    <row r="490" customFormat="false" ht="15" hidden="false" customHeight="false" outlineLevel="0" collapsed="false">
      <c r="G490" s="88"/>
    </row>
    <row r="491" customFormat="false" ht="15" hidden="false" customHeight="false" outlineLevel="0" collapsed="false">
      <c r="G491" s="88"/>
    </row>
    <row r="492" customFormat="false" ht="15" hidden="false" customHeight="false" outlineLevel="0" collapsed="false">
      <c r="G492" s="88"/>
    </row>
    <row r="493" customFormat="false" ht="15" hidden="false" customHeight="false" outlineLevel="0" collapsed="false">
      <c r="G493" s="88"/>
    </row>
    <row r="494" customFormat="false" ht="15" hidden="false" customHeight="false" outlineLevel="0" collapsed="false">
      <c r="G494" s="88"/>
    </row>
    <row r="495" customFormat="false" ht="15" hidden="false" customHeight="false" outlineLevel="0" collapsed="false">
      <c r="G495" s="88"/>
    </row>
    <row r="496" customFormat="false" ht="15" hidden="false" customHeight="false" outlineLevel="0" collapsed="false">
      <c r="G496" s="88"/>
    </row>
    <row r="497" customFormat="false" ht="15" hidden="false" customHeight="false" outlineLevel="0" collapsed="false">
      <c r="G497" s="88"/>
    </row>
    <row r="498" customFormat="false" ht="15" hidden="false" customHeight="false" outlineLevel="0" collapsed="false">
      <c r="G498" s="88"/>
    </row>
    <row r="499" customFormat="false" ht="15" hidden="false" customHeight="false" outlineLevel="0" collapsed="false">
      <c r="G499" s="88"/>
    </row>
    <row r="500" customFormat="false" ht="15" hidden="false" customHeight="false" outlineLevel="0" collapsed="false">
      <c r="G500" s="88"/>
    </row>
  </sheetData>
  <mergeCells count="3">
    <mergeCell ref="A1:H1"/>
    <mergeCell ref="A2:H2"/>
    <mergeCell ref="A6:H6"/>
  </mergeCells>
  <conditionalFormatting sqref="E7:E500">
    <cfRule type="expression" priority="2" aboveAverage="0" equalAverage="0" bottom="0" percent="0" rank="0" text="" dxfId="100">
      <formula>$E7&lt;&gt;$D7</formula>
    </cfRule>
    <cfRule type="expression" priority="3" aboveAverage="0" equalAverage="0" bottom="0" percent="0" rank="0" text="" dxfId="101">
      <formula>AND($E7=$D7,$E7&lt;&gt;"")</formula>
    </cfRule>
  </conditionalFormatting>
  <conditionalFormatting sqref="G7:G500">
    <cfRule type="expression" priority="4" aboveAverage="0" equalAverage="0" bottom="0" percent="0" rank="0" text="" dxfId="102">
      <formula>AND($G7&lt;&gt;"",VALUE($G7)&lt;TODAY())</formula>
    </cfRule>
  </conditionalFormatting>
  <dataValidations count="2">
    <dataValidation allowBlank="true" errorStyle="stop" operator="between" showDropDown="false" showErrorMessage="false" showInputMessage="false" sqref="D7:D500" type="list">
      <formula1>"REVISIT,SCHEDULED,READY,INPROGRESS,PERFORMED"</formula1>
      <formula2>0</formula2>
    </dataValidation>
    <dataValidation allowBlank="true" errorStyle="stop" operator="between" showDropDown="false" showErrorMessage="false" showInputMessage="false" sqref="E7:E500" type="list">
      <formula1>"REVISIT,SCHEDULED,READY,INPROGRESS,PERFORMED"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4155"/>
    <pageSetUpPr fitToPage="false"/>
  </sheetPr>
  <dimension ref="A1:M1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48"/>
    <col collapsed="false" customWidth="true" hidden="false" outlineLevel="0" max="5" min="5" style="0" width="28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13"/>
    <col collapsed="false" customWidth="true" hidden="false" outlineLevel="0" max="13" min="13" style="0" width="10"/>
  </cols>
  <sheetData>
    <row r="1" customFormat="false" ht="27.75" hidden="false" customHeight="true" outlineLevel="0" collapsed="false">
      <c r="A1" s="1" t="s">
        <v>356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3.5" hidden="false" customHeight="true" outlineLevel="0" collapsed="false">
      <c r="A2" s="2" t="s">
        <v>357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6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9.5" hidden="false" customHeight="true" outlineLevel="0" collapsed="false">
      <c r="A4" s="9" t="s">
        <v>358</v>
      </c>
      <c r="B4" s="9" t="s">
        <v>6</v>
      </c>
      <c r="C4" s="9" t="s">
        <v>7</v>
      </c>
      <c r="D4" s="9" t="s">
        <v>8</v>
      </c>
      <c r="E4" s="9" t="s">
        <v>9</v>
      </c>
      <c r="F4" s="9" t="s">
        <v>11</v>
      </c>
      <c r="G4" s="9" t="s">
        <v>12</v>
      </c>
      <c r="H4" s="9" t="s">
        <v>359</v>
      </c>
      <c r="I4" s="9" t="s">
        <v>13</v>
      </c>
      <c r="J4" s="9" t="s">
        <v>14</v>
      </c>
      <c r="K4" s="9" t="s">
        <v>10</v>
      </c>
      <c r="L4" s="9" t="s">
        <v>15</v>
      </c>
      <c r="M4" s="9" t="s">
        <v>16</v>
      </c>
    </row>
    <row r="5" customFormat="false" ht="15.75" hidden="false" customHeight="true" outlineLevel="0" collapsed="false">
      <c r="A5" s="89" t="n">
        <v>1</v>
      </c>
      <c r="B5" s="90" t="s">
        <v>18</v>
      </c>
      <c r="C5" s="11" t="s">
        <v>19</v>
      </c>
      <c r="D5" s="12" t="s">
        <v>20</v>
      </c>
      <c r="E5" s="13" t="s">
        <v>360</v>
      </c>
      <c r="F5" s="15" t="s">
        <v>22</v>
      </c>
      <c r="G5" s="12" t="s">
        <v>23</v>
      </c>
      <c r="H5" s="91" t="s">
        <v>361</v>
      </c>
      <c r="I5" s="16" t="n">
        <v>29772.4184</v>
      </c>
      <c r="J5" s="17" t="n">
        <v>29772.42</v>
      </c>
      <c r="K5" s="14" t="n">
        <v>36</v>
      </c>
      <c r="L5" s="18" t="n">
        <v>46127.25</v>
      </c>
      <c r="M5" s="19" t="s">
        <v>24</v>
      </c>
    </row>
    <row r="6" customFormat="false" ht="15.75" hidden="false" customHeight="true" outlineLevel="0" collapsed="false">
      <c r="A6" s="89" t="n">
        <v>2</v>
      </c>
      <c r="B6" s="90" t="s">
        <v>18</v>
      </c>
      <c r="C6" s="11" t="s">
        <v>25</v>
      </c>
      <c r="D6" s="12" t="s">
        <v>26</v>
      </c>
      <c r="E6" s="13" t="s">
        <v>27</v>
      </c>
      <c r="F6" s="15" t="s">
        <v>22</v>
      </c>
      <c r="G6" s="12" t="s">
        <v>23</v>
      </c>
      <c r="H6" s="91" t="s">
        <v>361</v>
      </c>
      <c r="I6" s="16" t="n">
        <v>14387.3845</v>
      </c>
      <c r="J6" s="17" t="n">
        <v>14387.38</v>
      </c>
      <c r="K6" s="21" t="n">
        <v>188</v>
      </c>
      <c r="L6" s="18" t="n">
        <v>45958.3159722222</v>
      </c>
      <c r="M6" s="19" t="s">
        <v>24</v>
      </c>
    </row>
    <row r="7" customFormat="false" ht="15.75" hidden="false" customHeight="true" outlineLevel="0" collapsed="false">
      <c r="A7" s="89" t="n">
        <v>3</v>
      </c>
      <c r="B7" s="90" t="s">
        <v>18</v>
      </c>
      <c r="C7" s="11" t="s">
        <v>28</v>
      </c>
      <c r="D7" s="12" t="s">
        <v>29</v>
      </c>
      <c r="E7" s="13" t="s">
        <v>362</v>
      </c>
      <c r="F7" s="15" t="s">
        <v>22</v>
      </c>
      <c r="G7" s="12" t="s">
        <v>23</v>
      </c>
      <c r="H7" s="91" t="s">
        <v>361</v>
      </c>
      <c r="I7" s="16" t="n">
        <v>13244.1535</v>
      </c>
      <c r="J7" s="17" t="n">
        <v>13244.15</v>
      </c>
      <c r="K7" s="21" t="n">
        <v>174</v>
      </c>
      <c r="L7" s="18" t="n">
        <v>45966.2916666667</v>
      </c>
      <c r="M7" s="19" t="s">
        <v>24</v>
      </c>
    </row>
    <row r="8" customFormat="false" ht="15.75" hidden="false" customHeight="true" outlineLevel="0" collapsed="false">
      <c r="A8" s="89" t="n">
        <v>4</v>
      </c>
      <c r="B8" s="90" t="s">
        <v>18</v>
      </c>
      <c r="C8" s="11" t="s">
        <v>31</v>
      </c>
      <c r="D8" s="12" t="s">
        <v>32</v>
      </c>
      <c r="E8" s="13" t="s">
        <v>33</v>
      </c>
      <c r="F8" s="15" t="s">
        <v>22</v>
      </c>
      <c r="G8" s="12" t="s">
        <v>34</v>
      </c>
      <c r="H8" s="91" t="s">
        <v>361</v>
      </c>
      <c r="I8" s="16" t="n">
        <v>12263.736</v>
      </c>
      <c r="J8" s="17" t="n">
        <v>12263.74</v>
      </c>
      <c r="K8" s="21" t="n">
        <v>372</v>
      </c>
      <c r="L8" s="18" t="n">
        <v>45776.4965277778</v>
      </c>
      <c r="M8" s="19" t="s">
        <v>24</v>
      </c>
    </row>
    <row r="9" customFormat="false" ht="15.75" hidden="false" customHeight="true" outlineLevel="0" collapsed="false">
      <c r="A9" s="89" t="n">
        <v>5</v>
      </c>
      <c r="B9" s="90" t="s">
        <v>18</v>
      </c>
      <c r="C9" s="11" t="s">
        <v>35</v>
      </c>
      <c r="D9" s="12" t="s">
        <v>36</v>
      </c>
      <c r="E9" s="13" t="s">
        <v>363</v>
      </c>
      <c r="F9" s="15" t="s">
        <v>22</v>
      </c>
      <c r="G9" s="12" t="s">
        <v>38</v>
      </c>
      <c r="H9" s="91" t="s">
        <v>361</v>
      </c>
      <c r="I9" s="16" t="n">
        <v>11120.0209</v>
      </c>
      <c r="J9" s="17" t="n">
        <v>11120.02</v>
      </c>
      <c r="K9" s="21" t="n">
        <v>305</v>
      </c>
      <c r="L9" s="18" t="n">
        <v>46084.3784722222</v>
      </c>
      <c r="M9" s="19" t="s">
        <v>24</v>
      </c>
    </row>
    <row r="10" customFormat="false" ht="15.75" hidden="false" customHeight="true" outlineLevel="0" collapsed="false">
      <c r="A10" s="89" t="n">
        <v>6</v>
      </c>
      <c r="B10" s="90" t="s">
        <v>18</v>
      </c>
      <c r="C10" s="11" t="s">
        <v>39</v>
      </c>
      <c r="D10" s="12" t="s">
        <v>40</v>
      </c>
      <c r="E10" s="13" t="s">
        <v>41</v>
      </c>
      <c r="F10" s="15" t="s">
        <v>22</v>
      </c>
      <c r="G10" s="12" t="s">
        <v>23</v>
      </c>
      <c r="H10" s="91" t="s">
        <v>361</v>
      </c>
      <c r="I10" s="16" t="n">
        <v>10484</v>
      </c>
      <c r="J10" s="17" t="n">
        <v>10484</v>
      </c>
      <c r="K10" s="21" t="n">
        <v>250</v>
      </c>
      <c r="L10" s="18" t="n">
        <v>45870.375</v>
      </c>
      <c r="M10" s="19" t="s">
        <v>24</v>
      </c>
    </row>
    <row r="11" customFormat="false" ht="15.75" hidden="false" customHeight="true" outlineLevel="0" collapsed="false">
      <c r="A11" s="89" t="n">
        <v>7</v>
      </c>
      <c r="B11" s="90" t="s">
        <v>18</v>
      </c>
      <c r="C11" s="11" t="s">
        <v>42</v>
      </c>
      <c r="D11" s="12" t="s">
        <v>43</v>
      </c>
      <c r="E11" s="13" t="s">
        <v>364</v>
      </c>
      <c r="F11" s="15" t="s">
        <v>22</v>
      </c>
      <c r="G11" s="12" t="s">
        <v>23</v>
      </c>
      <c r="H11" s="91" t="s">
        <v>361</v>
      </c>
      <c r="I11" s="16" t="n">
        <v>10090.053</v>
      </c>
      <c r="J11" s="17" t="n">
        <v>10090.05</v>
      </c>
      <c r="K11" s="21" t="n">
        <v>312</v>
      </c>
      <c r="L11" s="18" t="n">
        <v>46029.3451388889</v>
      </c>
      <c r="M11" s="19" t="s">
        <v>24</v>
      </c>
    </row>
    <row r="12" customFormat="false" ht="15.75" hidden="false" customHeight="true" outlineLevel="0" collapsed="false">
      <c r="A12" s="89" t="n">
        <v>8</v>
      </c>
      <c r="B12" s="90" t="s">
        <v>18</v>
      </c>
      <c r="C12" s="11" t="s">
        <v>45</v>
      </c>
      <c r="D12" s="12" t="s">
        <v>46</v>
      </c>
      <c r="E12" s="13" t="s">
        <v>360</v>
      </c>
      <c r="F12" s="15" t="s">
        <v>22</v>
      </c>
      <c r="G12" s="12" t="s">
        <v>47</v>
      </c>
      <c r="H12" s="91" t="s">
        <v>361</v>
      </c>
      <c r="I12" s="16" t="n">
        <v>10056.493</v>
      </c>
      <c r="J12" s="17" t="n">
        <v>10056.49</v>
      </c>
      <c r="K12" s="21" t="n">
        <v>112</v>
      </c>
      <c r="L12" s="18" t="n">
        <v>46027.3333333333</v>
      </c>
      <c r="M12" s="19" t="s">
        <v>24</v>
      </c>
    </row>
    <row r="13" customFormat="false" ht="15.75" hidden="false" customHeight="true" outlineLevel="0" collapsed="false">
      <c r="A13" s="89" t="n">
        <v>9</v>
      </c>
      <c r="B13" s="90" t="s">
        <v>18</v>
      </c>
      <c r="C13" s="11" t="s">
        <v>48</v>
      </c>
      <c r="D13" s="12" t="s">
        <v>49</v>
      </c>
      <c r="E13" s="13" t="s">
        <v>365</v>
      </c>
      <c r="F13" s="15" t="s">
        <v>22</v>
      </c>
      <c r="G13" s="12" t="s">
        <v>23</v>
      </c>
      <c r="H13" s="91" t="s">
        <v>361</v>
      </c>
      <c r="I13" s="16" t="n">
        <v>13702.25</v>
      </c>
      <c r="J13" s="17" t="n">
        <v>13702.25</v>
      </c>
      <c r="K13" s="14" t="n">
        <v>34</v>
      </c>
      <c r="L13" s="18" t="n">
        <v>46085.5</v>
      </c>
      <c r="M13" s="19" t="s">
        <v>24</v>
      </c>
    </row>
    <row r="14" customFormat="false" ht="15.75" hidden="false" customHeight="true" outlineLevel="0" collapsed="false">
      <c r="A14" s="92" t="n">
        <v>10</v>
      </c>
      <c r="B14" s="93" t="s">
        <v>18</v>
      </c>
      <c r="C14" s="32" t="s">
        <v>51</v>
      </c>
      <c r="D14" s="33" t="s">
        <v>52</v>
      </c>
      <c r="E14" s="34" t="s">
        <v>366</v>
      </c>
      <c r="F14" s="36" t="s">
        <v>54</v>
      </c>
      <c r="G14" s="37"/>
      <c r="H14" s="94" t="s">
        <v>361</v>
      </c>
      <c r="I14" s="38" t="n">
        <v>13457.86</v>
      </c>
      <c r="J14" s="39" t="n">
        <v>13457.86</v>
      </c>
      <c r="K14" s="35" t="n">
        <v>61</v>
      </c>
      <c r="L14" s="40"/>
      <c r="M14" s="41" t="s">
        <v>24</v>
      </c>
    </row>
    <row r="15" customFormat="false" ht="15.75" hidden="false" customHeight="true" outlineLevel="0" collapsed="false">
      <c r="A15" s="95" t="n">
        <v>11</v>
      </c>
      <c r="B15" s="96" t="s">
        <v>18</v>
      </c>
      <c r="C15" s="49" t="s">
        <v>367</v>
      </c>
      <c r="D15" s="50" t="s">
        <v>368</v>
      </c>
      <c r="E15" s="51" t="s">
        <v>369</v>
      </c>
      <c r="F15" s="53" t="s">
        <v>219</v>
      </c>
      <c r="G15" s="50" t="s">
        <v>47</v>
      </c>
      <c r="H15" s="97" t="s">
        <v>370</v>
      </c>
      <c r="I15" s="55" t="n">
        <v>15682</v>
      </c>
      <c r="J15" s="56"/>
      <c r="K15" s="52" t="n">
        <v>551</v>
      </c>
      <c r="L15" s="57" t="n">
        <v>45681.5</v>
      </c>
      <c r="M15" s="58" t="s">
        <v>24</v>
      </c>
    </row>
    <row r="16" customFormat="false" ht="15.75" hidden="false" customHeight="true" outlineLevel="0" collapsed="false">
      <c r="A16" s="89" t="n">
        <v>12</v>
      </c>
      <c r="B16" s="98" t="s">
        <v>55</v>
      </c>
      <c r="C16" s="11" t="s">
        <v>56</v>
      </c>
      <c r="D16" s="12" t="s">
        <v>57</v>
      </c>
      <c r="E16" s="13" t="s">
        <v>371</v>
      </c>
      <c r="F16" s="15" t="s">
        <v>22</v>
      </c>
      <c r="G16" s="12" t="s">
        <v>23</v>
      </c>
      <c r="H16" s="91" t="s">
        <v>361</v>
      </c>
      <c r="I16" s="16" t="n">
        <v>7507.5684</v>
      </c>
      <c r="J16" s="17" t="n">
        <v>7507.57</v>
      </c>
      <c r="K16" s="21" t="n">
        <v>207</v>
      </c>
      <c r="L16" s="18" t="n">
        <v>45916.375</v>
      </c>
      <c r="M16" s="19" t="s">
        <v>24</v>
      </c>
    </row>
    <row r="17" customFormat="false" ht="15.75" hidden="false" customHeight="true" outlineLevel="0" collapsed="false">
      <c r="A17" s="89" t="n">
        <v>13</v>
      </c>
      <c r="B17" s="98" t="s">
        <v>55</v>
      </c>
      <c r="C17" s="11" t="s">
        <v>59</v>
      </c>
      <c r="D17" s="12" t="s">
        <v>29</v>
      </c>
      <c r="E17" s="13" t="s">
        <v>362</v>
      </c>
      <c r="F17" s="15" t="s">
        <v>22</v>
      </c>
      <c r="G17" s="12" t="s">
        <v>47</v>
      </c>
      <c r="H17" s="91" t="s">
        <v>361</v>
      </c>
      <c r="I17" s="16" t="n">
        <v>7430</v>
      </c>
      <c r="J17" s="17" t="n">
        <v>7430</v>
      </c>
      <c r="K17" s="21" t="n">
        <v>137</v>
      </c>
      <c r="L17" s="18" t="n">
        <v>46058.2986111111</v>
      </c>
      <c r="M17" s="19" t="s">
        <v>24</v>
      </c>
    </row>
    <row r="18" customFormat="false" ht="15.75" hidden="false" customHeight="true" outlineLevel="0" collapsed="false">
      <c r="A18" s="89" t="n">
        <v>14</v>
      </c>
      <c r="B18" s="98" t="s">
        <v>55</v>
      </c>
      <c r="C18" s="11" t="s">
        <v>60</v>
      </c>
      <c r="D18" s="12" t="s">
        <v>61</v>
      </c>
      <c r="E18" s="13" t="s">
        <v>62</v>
      </c>
      <c r="F18" s="15" t="s">
        <v>22</v>
      </c>
      <c r="G18" s="12" t="s">
        <v>47</v>
      </c>
      <c r="H18" s="91" t="s">
        <v>361</v>
      </c>
      <c r="I18" s="16" t="n">
        <v>7065.508</v>
      </c>
      <c r="J18" s="17" t="n">
        <v>7065.52</v>
      </c>
      <c r="K18" s="21" t="n">
        <v>173</v>
      </c>
      <c r="L18" s="18" t="n">
        <v>45967.2916666667</v>
      </c>
      <c r="M18" s="19" t="s">
        <v>24</v>
      </c>
    </row>
    <row r="19" customFormat="false" ht="15.75" hidden="false" customHeight="true" outlineLevel="0" collapsed="false">
      <c r="A19" s="89" t="n">
        <v>15</v>
      </c>
      <c r="B19" s="98" t="s">
        <v>55</v>
      </c>
      <c r="C19" s="11" t="s">
        <v>63</v>
      </c>
      <c r="D19" s="12" t="s">
        <v>64</v>
      </c>
      <c r="E19" s="13" t="s">
        <v>372</v>
      </c>
      <c r="F19" s="15" t="s">
        <v>22</v>
      </c>
      <c r="G19" s="12" t="s">
        <v>47</v>
      </c>
      <c r="H19" s="91" t="s">
        <v>361</v>
      </c>
      <c r="I19" s="16" t="n">
        <v>5834.7131</v>
      </c>
      <c r="J19" s="17" t="n">
        <v>5834.72</v>
      </c>
      <c r="K19" s="21" t="n">
        <v>113</v>
      </c>
      <c r="L19" s="18" t="n">
        <v>46051.25</v>
      </c>
      <c r="M19" s="44" t="s">
        <v>66</v>
      </c>
    </row>
    <row r="20" customFormat="false" ht="15.75" hidden="false" customHeight="true" outlineLevel="0" collapsed="false">
      <c r="A20" s="89" t="n">
        <v>16</v>
      </c>
      <c r="B20" s="98" t="s">
        <v>55</v>
      </c>
      <c r="C20" s="11" t="s">
        <v>67</v>
      </c>
      <c r="D20" s="12" t="s">
        <v>68</v>
      </c>
      <c r="E20" s="13" t="s">
        <v>69</v>
      </c>
      <c r="F20" s="15" t="s">
        <v>22</v>
      </c>
      <c r="G20" s="12" t="s">
        <v>38</v>
      </c>
      <c r="H20" s="91" t="s">
        <v>361</v>
      </c>
      <c r="I20" s="16" t="n">
        <v>5383.0095</v>
      </c>
      <c r="J20" s="17" t="n">
        <v>5383.01</v>
      </c>
      <c r="K20" s="21" t="n">
        <v>118</v>
      </c>
      <c r="L20" s="18" t="n">
        <v>46056.25</v>
      </c>
      <c r="M20" s="19" t="s">
        <v>24</v>
      </c>
    </row>
    <row r="21" customFormat="false" ht="15.75" hidden="false" customHeight="true" outlineLevel="0" collapsed="false">
      <c r="A21" s="89" t="n">
        <v>17</v>
      </c>
      <c r="B21" s="98" t="s">
        <v>55</v>
      </c>
      <c r="C21" s="11" t="s">
        <v>70</v>
      </c>
      <c r="D21" s="12" t="s">
        <v>71</v>
      </c>
      <c r="E21" s="13" t="s">
        <v>373</v>
      </c>
      <c r="F21" s="15" t="s">
        <v>22</v>
      </c>
      <c r="G21" s="12" t="s">
        <v>38</v>
      </c>
      <c r="H21" s="91" t="s">
        <v>361</v>
      </c>
      <c r="I21" s="16" t="n">
        <v>5090</v>
      </c>
      <c r="J21" s="17" t="n">
        <v>5090</v>
      </c>
      <c r="K21" s="21" t="n">
        <v>223</v>
      </c>
      <c r="L21" s="18" t="n">
        <v>46009.4166666667</v>
      </c>
      <c r="M21" s="19" t="s">
        <v>24</v>
      </c>
    </row>
    <row r="22" customFormat="false" ht="15.75" hidden="false" customHeight="true" outlineLevel="0" collapsed="false">
      <c r="A22" s="89" t="n">
        <v>18</v>
      </c>
      <c r="B22" s="98" t="s">
        <v>55</v>
      </c>
      <c r="C22" s="11" t="s">
        <v>73</v>
      </c>
      <c r="D22" s="12" t="s">
        <v>74</v>
      </c>
      <c r="E22" s="13" t="s">
        <v>374</v>
      </c>
      <c r="F22" s="15" t="s">
        <v>22</v>
      </c>
      <c r="G22" s="12" t="s">
        <v>47</v>
      </c>
      <c r="H22" s="91" t="s">
        <v>361</v>
      </c>
      <c r="I22" s="16" t="n">
        <v>4728.67</v>
      </c>
      <c r="J22" s="17" t="n">
        <v>4728.66</v>
      </c>
      <c r="K22" s="21" t="n">
        <v>188</v>
      </c>
      <c r="L22" s="18" t="n">
        <v>45938.2916666667</v>
      </c>
      <c r="M22" s="19" t="s">
        <v>24</v>
      </c>
    </row>
    <row r="23" customFormat="false" ht="15.75" hidden="false" customHeight="true" outlineLevel="0" collapsed="false">
      <c r="A23" s="89" t="n">
        <v>19</v>
      </c>
      <c r="B23" s="98" t="s">
        <v>55</v>
      </c>
      <c r="C23" s="11" t="s">
        <v>76</v>
      </c>
      <c r="D23" s="12" t="s">
        <v>77</v>
      </c>
      <c r="E23" s="13" t="s">
        <v>375</v>
      </c>
      <c r="F23" s="15" t="s">
        <v>22</v>
      </c>
      <c r="G23" s="12" t="s">
        <v>47</v>
      </c>
      <c r="H23" s="91" t="s">
        <v>361</v>
      </c>
      <c r="I23" s="16" t="n">
        <v>4500</v>
      </c>
      <c r="J23" s="17" t="n">
        <v>4500</v>
      </c>
      <c r="K23" s="21" t="n">
        <v>252</v>
      </c>
      <c r="L23" s="18"/>
      <c r="M23" s="19" t="s">
        <v>24</v>
      </c>
    </row>
    <row r="24" customFormat="false" ht="15.75" hidden="false" customHeight="true" outlineLevel="0" collapsed="false">
      <c r="A24" s="89" t="n">
        <v>20</v>
      </c>
      <c r="B24" s="98" t="s">
        <v>55</v>
      </c>
      <c r="C24" s="11" t="s">
        <v>79</v>
      </c>
      <c r="D24" s="12" t="s">
        <v>43</v>
      </c>
      <c r="E24" s="13" t="s">
        <v>364</v>
      </c>
      <c r="F24" s="15" t="s">
        <v>22</v>
      </c>
      <c r="G24" s="12" t="s">
        <v>23</v>
      </c>
      <c r="H24" s="91" t="s">
        <v>361</v>
      </c>
      <c r="I24" s="16" t="n">
        <v>4038.228</v>
      </c>
      <c r="J24" s="17" t="n">
        <v>4038.23</v>
      </c>
      <c r="K24" s="21" t="n">
        <v>132</v>
      </c>
      <c r="L24" s="18" t="n">
        <v>46029.25</v>
      </c>
      <c r="M24" s="19" t="s">
        <v>24</v>
      </c>
    </row>
    <row r="25" customFormat="false" ht="15.75" hidden="false" customHeight="true" outlineLevel="0" collapsed="false">
      <c r="A25" s="89" t="n">
        <v>21</v>
      </c>
      <c r="B25" s="98" t="s">
        <v>55</v>
      </c>
      <c r="C25" s="11" t="s">
        <v>80</v>
      </c>
      <c r="D25" s="12" t="s">
        <v>81</v>
      </c>
      <c r="E25" s="13" t="s">
        <v>82</v>
      </c>
      <c r="F25" s="15" t="s">
        <v>22</v>
      </c>
      <c r="G25" s="12" t="s">
        <v>23</v>
      </c>
      <c r="H25" s="91" t="s">
        <v>361</v>
      </c>
      <c r="I25" s="16" t="n">
        <v>3270</v>
      </c>
      <c r="J25" s="17" t="n">
        <v>3270</v>
      </c>
      <c r="K25" s="21" t="n">
        <v>148</v>
      </c>
      <c r="L25" s="18" t="n">
        <v>46009.4583333333</v>
      </c>
      <c r="M25" s="19" t="s">
        <v>24</v>
      </c>
    </row>
    <row r="26" customFormat="false" ht="15.75" hidden="false" customHeight="true" outlineLevel="0" collapsed="false">
      <c r="A26" s="89" t="n">
        <v>22</v>
      </c>
      <c r="B26" s="98" t="s">
        <v>55</v>
      </c>
      <c r="C26" s="11" t="s">
        <v>83</v>
      </c>
      <c r="D26" s="12" t="s">
        <v>84</v>
      </c>
      <c r="E26" s="13" t="s">
        <v>376</v>
      </c>
      <c r="F26" s="15" t="s">
        <v>22</v>
      </c>
      <c r="G26" s="12" t="s">
        <v>47</v>
      </c>
      <c r="H26" s="91" t="s">
        <v>361</v>
      </c>
      <c r="I26" s="16" t="n">
        <v>2895.008</v>
      </c>
      <c r="J26" s="17" t="n">
        <v>2895.01</v>
      </c>
      <c r="K26" s="21" t="n">
        <v>181</v>
      </c>
      <c r="L26" s="18" t="n">
        <v>45946.2916666667</v>
      </c>
      <c r="M26" s="19" t="s">
        <v>24</v>
      </c>
    </row>
    <row r="27" customFormat="false" ht="15.75" hidden="false" customHeight="true" outlineLevel="0" collapsed="false">
      <c r="A27" s="89" t="n">
        <v>23</v>
      </c>
      <c r="B27" s="98" t="s">
        <v>55</v>
      </c>
      <c r="C27" s="11" t="s">
        <v>86</v>
      </c>
      <c r="D27" s="12" t="s">
        <v>87</v>
      </c>
      <c r="E27" s="13" t="s">
        <v>88</v>
      </c>
      <c r="F27" s="15" t="s">
        <v>22</v>
      </c>
      <c r="G27" s="12" t="s">
        <v>47</v>
      </c>
      <c r="H27" s="91" t="s">
        <v>361</v>
      </c>
      <c r="I27" s="16" t="n">
        <v>2640</v>
      </c>
      <c r="J27" s="17" t="n">
        <v>2640</v>
      </c>
      <c r="K27" s="21" t="n">
        <v>120</v>
      </c>
      <c r="L27" s="18" t="n">
        <v>46101.375</v>
      </c>
      <c r="M27" s="19" t="s">
        <v>24</v>
      </c>
    </row>
    <row r="28" customFormat="false" ht="15.75" hidden="false" customHeight="true" outlineLevel="0" collapsed="false">
      <c r="A28" s="89" t="n">
        <v>24</v>
      </c>
      <c r="B28" s="98" t="s">
        <v>55</v>
      </c>
      <c r="C28" s="11" t="s">
        <v>89</v>
      </c>
      <c r="D28" s="12" t="s">
        <v>90</v>
      </c>
      <c r="E28" s="13" t="s">
        <v>377</v>
      </c>
      <c r="F28" s="15" t="s">
        <v>22</v>
      </c>
      <c r="G28" s="12" t="s">
        <v>23</v>
      </c>
      <c r="H28" s="91" t="s">
        <v>361</v>
      </c>
      <c r="I28" s="16" t="n">
        <v>2628.002</v>
      </c>
      <c r="J28" s="17" t="n">
        <v>2628</v>
      </c>
      <c r="K28" s="21" t="n">
        <v>279</v>
      </c>
      <c r="L28" s="18" t="n">
        <v>45988.3125</v>
      </c>
      <c r="M28" s="19" t="s">
        <v>24</v>
      </c>
    </row>
    <row r="29" customFormat="false" ht="15.75" hidden="false" customHeight="true" outlineLevel="0" collapsed="false">
      <c r="A29" s="89" t="n">
        <v>25</v>
      </c>
      <c r="B29" s="98" t="s">
        <v>55</v>
      </c>
      <c r="C29" s="11" t="s">
        <v>92</v>
      </c>
      <c r="D29" s="12" t="s">
        <v>93</v>
      </c>
      <c r="E29" s="13" t="s">
        <v>94</v>
      </c>
      <c r="F29" s="15" t="s">
        <v>22</v>
      </c>
      <c r="G29" s="12" t="s">
        <v>95</v>
      </c>
      <c r="H29" s="91" t="s">
        <v>361</v>
      </c>
      <c r="I29" s="16" t="n">
        <v>2528.0025</v>
      </c>
      <c r="J29" s="17" t="n">
        <v>2528</v>
      </c>
      <c r="K29" s="21" t="n">
        <v>211</v>
      </c>
      <c r="L29" s="18" t="n">
        <v>45919.4583333333</v>
      </c>
      <c r="M29" s="19" t="s">
        <v>24</v>
      </c>
    </row>
    <row r="30" customFormat="false" ht="15.75" hidden="false" customHeight="true" outlineLevel="0" collapsed="false">
      <c r="A30" s="89" t="n">
        <v>26</v>
      </c>
      <c r="B30" s="98" t="s">
        <v>55</v>
      </c>
      <c r="C30" s="11" t="s">
        <v>96</v>
      </c>
      <c r="D30" s="12" t="s">
        <v>97</v>
      </c>
      <c r="E30" s="13" t="s">
        <v>378</v>
      </c>
      <c r="F30" s="15" t="s">
        <v>22</v>
      </c>
      <c r="G30" s="12" t="s">
        <v>99</v>
      </c>
      <c r="H30" s="91" t="s">
        <v>361</v>
      </c>
      <c r="I30" s="16" t="n">
        <v>2351.01</v>
      </c>
      <c r="J30" s="17" t="n">
        <v>2351.01</v>
      </c>
      <c r="K30" s="21" t="n">
        <v>454</v>
      </c>
      <c r="L30" s="18" t="n">
        <v>45667.5222222222</v>
      </c>
      <c r="M30" s="19" t="s">
        <v>24</v>
      </c>
    </row>
    <row r="31" customFormat="false" ht="15.75" hidden="false" customHeight="true" outlineLevel="0" collapsed="false">
      <c r="A31" s="89" t="n">
        <v>27</v>
      </c>
      <c r="B31" s="98" t="s">
        <v>55</v>
      </c>
      <c r="C31" s="11" t="s">
        <v>102</v>
      </c>
      <c r="D31" s="12" t="s">
        <v>103</v>
      </c>
      <c r="E31" s="13" t="s">
        <v>379</v>
      </c>
      <c r="F31" s="15" t="s">
        <v>22</v>
      </c>
      <c r="G31" s="12" t="s">
        <v>47</v>
      </c>
      <c r="H31" s="91" t="s">
        <v>361</v>
      </c>
      <c r="I31" s="16" t="n">
        <v>2080</v>
      </c>
      <c r="J31" s="17" t="n">
        <v>2080</v>
      </c>
      <c r="K31" s="21" t="n">
        <v>225</v>
      </c>
      <c r="L31" s="18" t="n">
        <v>45909.375</v>
      </c>
      <c r="M31" s="19" t="s">
        <v>24</v>
      </c>
    </row>
    <row r="32" customFormat="false" ht="15.75" hidden="false" customHeight="true" outlineLevel="0" collapsed="false">
      <c r="A32" s="89" t="n">
        <v>28</v>
      </c>
      <c r="B32" s="98" t="s">
        <v>55</v>
      </c>
      <c r="C32" s="11" t="s">
        <v>100</v>
      </c>
      <c r="D32" s="12" t="s">
        <v>101</v>
      </c>
      <c r="E32" s="13" t="s">
        <v>375</v>
      </c>
      <c r="F32" s="15" t="s">
        <v>22</v>
      </c>
      <c r="G32" s="12" t="s">
        <v>38</v>
      </c>
      <c r="H32" s="91" t="s">
        <v>361</v>
      </c>
      <c r="I32" s="16" t="n">
        <v>2110.0006</v>
      </c>
      <c r="J32" s="17" t="n">
        <v>2110</v>
      </c>
      <c r="K32" s="21" t="n">
        <v>274</v>
      </c>
      <c r="L32" s="18" t="n">
        <v>45877.5486111111</v>
      </c>
      <c r="M32" s="19" t="s">
        <v>24</v>
      </c>
    </row>
    <row r="33" customFormat="false" ht="15.75" hidden="false" customHeight="true" outlineLevel="0" collapsed="false">
      <c r="A33" s="89" t="n">
        <v>29</v>
      </c>
      <c r="B33" s="98" t="s">
        <v>55</v>
      </c>
      <c r="C33" s="11" t="s">
        <v>105</v>
      </c>
      <c r="D33" s="12" t="s">
        <v>106</v>
      </c>
      <c r="E33" s="13" t="s">
        <v>107</v>
      </c>
      <c r="F33" s="15" t="s">
        <v>22</v>
      </c>
      <c r="G33" s="12" t="s">
        <v>23</v>
      </c>
      <c r="H33" s="91" t="s">
        <v>361</v>
      </c>
      <c r="I33" s="16" t="n">
        <v>2098.7851</v>
      </c>
      <c r="J33" s="17" t="n">
        <v>2098.78</v>
      </c>
      <c r="K33" s="21" t="n">
        <v>138</v>
      </c>
      <c r="L33" s="18" t="n">
        <v>45982.4625</v>
      </c>
      <c r="M33" s="19" t="s">
        <v>24</v>
      </c>
    </row>
    <row r="34" customFormat="false" ht="15.75" hidden="false" customHeight="true" outlineLevel="0" collapsed="false">
      <c r="A34" s="89" t="n">
        <v>30</v>
      </c>
      <c r="B34" s="98" t="s">
        <v>55</v>
      </c>
      <c r="C34" s="11" t="s">
        <v>108</v>
      </c>
      <c r="D34" s="12" t="s">
        <v>109</v>
      </c>
      <c r="E34" s="13" t="s">
        <v>380</v>
      </c>
      <c r="F34" s="15" t="s">
        <v>22</v>
      </c>
      <c r="G34" s="12" t="s">
        <v>23</v>
      </c>
      <c r="H34" s="91" t="s">
        <v>361</v>
      </c>
      <c r="I34" s="16" t="n">
        <v>1893.003</v>
      </c>
      <c r="J34" s="17" t="n">
        <v>1893</v>
      </c>
      <c r="K34" s="21" t="n">
        <v>158</v>
      </c>
      <c r="L34" s="18"/>
      <c r="M34" s="19" t="s">
        <v>24</v>
      </c>
    </row>
    <row r="35" customFormat="false" ht="15.75" hidden="false" customHeight="true" outlineLevel="0" collapsed="false">
      <c r="A35" s="89" t="n">
        <v>31</v>
      </c>
      <c r="B35" s="98" t="s">
        <v>55</v>
      </c>
      <c r="C35" s="11" t="s">
        <v>114</v>
      </c>
      <c r="D35" s="12" t="s">
        <v>115</v>
      </c>
      <c r="E35" s="13" t="s">
        <v>116</v>
      </c>
      <c r="F35" s="15" t="s">
        <v>22</v>
      </c>
      <c r="G35" s="12" t="s">
        <v>47</v>
      </c>
      <c r="H35" s="91" t="s">
        <v>361</v>
      </c>
      <c r="I35" s="16" t="n">
        <v>1630.63</v>
      </c>
      <c r="J35" s="17" t="n">
        <v>1630.63</v>
      </c>
      <c r="K35" s="21" t="n">
        <v>145</v>
      </c>
      <c r="L35" s="18" t="n">
        <v>45989.4166666667</v>
      </c>
      <c r="M35" s="19" t="s">
        <v>24</v>
      </c>
    </row>
    <row r="36" customFormat="false" ht="15.75" hidden="false" customHeight="true" outlineLevel="0" collapsed="false">
      <c r="A36" s="89" t="n">
        <v>32</v>
      </c>
      <c r="B36" s="98" t="s">
        <v>55</v>
      </c>
      <c r="C36" s="11" t="s">
        <v>111</v>
      </c>
      <c r="D36" s="12" t="s">
        <v>112</v>
      </c>
      <c r="E36" s="13" t="s">
        <v>113</v>
      </c>
      <c r="F36" s="15" t="s">
        <v>22</v>
      </c>
      <c r="G36" s="12" t="s">
        <v>23</v>
      </c>
      <c r="H36" s="91" t="s">
        <v>361</v>
      </c>
      <c r="I36" s="16" t="n">
        <v>1560.006</v>
      </c>
      <c r="J36" s="17" t="n">
        <v>1560.01</v>
      </c>
      <c r="K36" s="21" t="n">
        <v>188</v>
      </c>
      <c r="L36" s="18" t="n">
        <v>45932.5270833333</v>
      </c>
      <c r="M36" s="19" t="s">
        <v>24</v>
      </c>
    </row>
    <row r="37" customFormat="false" ht="15.75" hidden="false" customHeight="true" outlineLevel="0" collapsed="false">
      <c r="A37" s="89" t="n">
        <v>33</v>
      </c>
      <c r="B37" s="98" t="s">
        <v>55</v>
      </c>
      <c r="C37" s="11" t="s">
        <v>381</v>
      </c>
      <c r="D37" s="12" t="s">
        <v>382</v>
      </c>
      <c r="E37" s="13" t="s">
        <v>375</v>
      </c>
      <c r="F37" s="15" t="s">
        <v>22</v>
      </c>
      <c r="G37" s="12" t="s">
        <v>383</v>
      </c>
      <c r="H37" s="99" t="s">
        <v>370</v>
      </c>
      <c r="I37" s="16" t="n">
        <v>1600</v>
      </c>
      <c r="J37" s="17" t="n">
        <v>1600</v>
      </c>
      <c r="K37" s="21" t="n">
        <v>427</v>
      </c>
      <c r="L37" s="18" t="n">
        <v>46030.4166666667</v>
      </c>
      <c r="M37" s="19" t="s">
        <v>24</v>
      </c>
    </row>
    <row r="38" customFormat="false" ht="15.75" hidden="false" customHeight="true" outlineLevel="0" collapsed="false">
      <c r="A38" s="89" t="n">
        <v>34</v>
      </c>
      <c r="B38" s="98" t="s">
        <v>55</v>
      </c>
      <c r="C38" s="11" t="s">
        <v>117</v>
      </c>
      <c r="D38" s="12" t="s">
        <v>118</v>
      </c>
      <c r="E38" s="13" t="s">
        <v>119</v>
      </c>
      <c r="F38" s="15" t="s">
        <v>22</v>
      </c>
      <c r="G38" s="12" t="s">
        <v>23</v>
      </c>
      <c r="H38" s="91" t="s">
        <v>361</v>
      </c>
      <c r="I38" s="16" t="n">
        <v>1195.282</v>
      </c>
      <c r="J38" s="17" t="n">
        <v>1195.28</v>
      </c>
      <c r="K38" s="21" t="n">
        <v>139</v>
      </c>
      <c r="L38" s="18" t="n">
        <v>45987.4583333333</v>
      </c>
      <c r="M38" s="19" t="s">
        <v>24</v>
      </c>
    </row>
    <row r="39" customFormat="false" ht="15.75" hidden="false" customHeight="true" outlineLevel="0" collapsed="false">
      <c r="A39" s="89" t="n">
        <v>35</v>
      </c>
      <c r="B39" s="98" t="s">
        <v>55</v>
      </c>
      <c r="C39" s="11" t="s">
        <v>120</v>
      </c>
      <c r="D39" s="12" t="s">
        <v>121</v>
      </c>
      <c r="E39" s="13" t="s">
        <v>384</v>
      </c>
      <c r="F39" s="15" t="s">
        <v>22</v>
      </c>
      <c r="G39" s="12" t="s">
        <v>23</v>
      </c>
      <c r="H39" s="91" t="s">
        <v>361</v>
      </c>
      <c r="I39" s="16" t="n">
        <v>1067.006</v>
      </c>
      <c r="J39" s="17" t="n">
        <v>1067.01</v>
      </c>
      <c r="K39" s="21" t="n">
        <v>295</v>
      </c>
      <c r="L39" s="18" t="n">
        <v>45923.2916666667</v>
      </c>
      <c r="M39" s="19" t="s">
        <v>24</v>
      </c>
    </row>
    <row r="40" customFormat="false" ht="15.75" hidden="false" customHeight="true" outlineLevel="0" collapsed="false">
      <c r="A40" s="89" t="n">
        <v>36</v>
      </c>
      <c r="B40" s="98" t="s">
        <v>55</v>
      </c>
      <c r="C40" s="11" t="s">
        <v>126</v>
      </c>
      <c r="D40" s="12" t="s">
        <v>127</v>
      </c>
      <c r="E40" s="13" t="s">
        <v>385</v>
      </c>
      <c r="F40" s="15" t="s">
        <v>22</v>
      </c>
      <c r="G40" s="12" t="s">
        <v>23</v>
      </c>
      <c r="H40" s="91" t="s">
        <v>361</v>
      </c>
      <c r="I40" s="16" t="n">
        <v>1040.004</v>
      </c>
      <c r="J40" s="17" t="n">
        <v>1040</v>
      </c>
      <c r="K40" s="21" t="n">
        <v>111</v>
      </c>
      <c r="L40" s="18" t="n">
        <v>46052.3402777778</v>
      </c>
      <c r="M40" s="19" t="s">
        <v>24</v>
      </c>
    </row>
    <row r="41" customFormat="false" ht="15.75" hidden="false" customHeight="true" outlineLevel="0" collapsed="false">
      <c r="A41" s="89" t="n">
        <v>37</v>
      </c>
      <c r="B41" s="98" t="s">
        <v>55</v>
      </c>
      <c r="C41" s="11" t="s">
        <v>123</v>
      </c>
      <c r="D41" s="12" t="s">
        <v>124</v>
      </c>
      <c r="E41" s="13" t="s">
        <v>385</v>
      </c>
      <c r="F41" s="15" t="s">
        <v>22</v>
      </c>
      <c r="G41" s="12" t="s">
        <v>47</v>
      </c>
      <c r="H41" s="91" t="s">
        <v>361</v>
      </c>
      <c r="I41" s="16" t="n">
        <v>1040.001</v>
      </c>
      <c r="J41" s="17" t="n">
        <v>1040</v>
      </c>
      <c r="K41" s="21" t="n">
        <v>124</v>
      </c>
      <c r="L41" s="18" t="n">
        <v>46052.25</v>
      </c>
      <c r="M41" s="19" t="s">
        <v>24</v>
      </c>
    </row>
    <row r="42" customFormat="false" ht="15.75" hidden="false" customHeight="true" outlineLevel="0" collapsed="false">
      <c r="A42" s="89" t="n">
        <v>38</v>
      </c>
      <c r="B42" s="98" t="s">
        <v>55</v>
      </c>
      <c r="C42" s="11" t="s">
        <v>128</v>
      </c>
      <c r="D42" s="12" t="s">
        <v>129</v>
      </c>
      <c r="E42" s="13" t="s">
        <v>385</v>
      </c>
      <c r="F42" s="15" t="s">
        <v>22</v>
      </c>
      <c r="G42" s="12" t="s">
        <v>23</v>
      </c>
      <c r="H42" s="91" t="s">
        <v>361</v>
      </c>
      <c r="I42" s="16" t="n">
        <v>1040.004</v>
      </c>
      <c r="J42" s="17" t="n">
        <v>1040</v>
      </c>
      <c r="K42" s="21" t="n">
        <v>298</v>
      </c>
      <c r="L42" s="18" t="n">
        <v>46058.5</v>
      </c>
      <c r="M42" s="19" t="s">
        <v>24</v>
      </c>
    </row>
    <row r="43" customFormat="false" ht="15.75" hidden="false" customHeight="true" outlineLevel="0" collapsed="false">
      <c r="A43" s="89" t="n">
        <v>39</v>
      </c>
      <c r="B43" s="98" t="s">
        <v>55</v>
      </c>
      <c r="C43" s="11" t="s">
        <v>130</v>
      </c>
      <c r="D43" s="12" t="s">
        <v>131</v>
      </c>
      <c r="E43" s="13" t="s">
        <v>116</v>
      </c>
      <c r="F43" s="15" t="s">
        <v>22</v>
      </c>
      <c r="G43" s="12" t="s">
        <v>47</v>
      </c>
      <c r="H43" s="91" t="s">
        <v>361</v>
      </c>
      <c r="I43" s="16" t="n">
        <v>843.5</v>
      </c>
      <c r="J43" s="17" t="n">
        <v>843.5</v>
      </c>
      <c r="K43" s="21" t="n">
        <v>145</v>
      </c>
      <c r="L43" s="18" t="n">
        <v>45989.5416666667</v>
      </c>
      <c r="M43" s="19" t="s">
        <v>24</v>
      </c>
    </row>
    <row r="44" customFormat="false" ht="15.75" hidden="false" customHeight="true" outlineLevel="0" collapsed="false">
      <c r="A44" s="89" t="n">
        <v>40</v>
      </c>
      <c r="B44" s="98" t="s">
        <v>55</v>
      </c>
      <c r="C44" s="11" t="s">
        <v>132</v>
      </c>
      <c r="D44" s="12" t="s">
        <v>133</v>
      </c>
      <c r="E44" s="13" t="s">
        <v>134</v>
      </c>
      <c r="F44" s="15" t="s">
        <v>22</v>
      </c>
      <c r="G44" s="12" t="s">
        <v>47</v>
      </c>
      <c r="H44" s="91" t="s">
        <v>361</v>
      </c>
      <c r="I44" s="16" t="n">
        <v>800.003</v>
      </c>
      <c r="J44" s="17" t="n">
        <v>800</v>
      </c>
      <c r="K44" s="21" t="n">
        <v>280</v>
      </c>
      <c r="L44" s="18" t="n">
        <v>45854.3020833333</v>
      </c>
      <c r="M44" s="19" t="s">
        <v>24</v>
      </c>
    </row>
    <row r="45" customFormat="false" ht="15.75" hidden="false" customHeight="true" outlineLevel="0" collapsed="false">
      <c r="A45" s="89" t="n">
        <v>41</v>
      </c>
      <c r="B45" s="98" t="s">
        <v>55</v>
      </c>
      <c r="C45" s="11" t="s">
        <v>135</v>
      </c>
      <c r="D45" s="12" t="s">
        <v>136</v>
      </c>
      <c r="E45" s="13" t="s">
        <v>137</v>
      </c>
      <c r="F45" s="15" t="s">
        <v>22</v>
      </c>
      <c r="G45" s="12" t="s">
        <v>47</v>
      </c>
      <c r="H45" s="91" t="s">
        <v>361</v>
      </c>
      <c r="I45" s="16" t="n">
        <v>734.001</v>
      </c>
      <c r="J45" s="17" t="n">
        <v>734</v>
      </c>
      <c r="K45" s="21" t="n">
        <v>124</v>
      </c>
      <c r="L45" s="18" t="n">
        <v>46007.375</v>
      </c>
      <c r="M45" s="19" t="s">
        <v>24</v>
      </c>
    </row>
    <row r="46" customFormat="false" ht="15.75" hidden="false" customHeight="true" outlineLevel="0" collapsed="false">
      <c r="A46" s="89" t="n">
        <v>42</v>
      </c>
      <c r="B46" s="98" t="s">
        <v>55</v>
      </c>
      <c r="C46" s="11" t="s">
        <v>141</v>
      </c>
      <c r="D46" s="12" t="s">
        <v>142</v>
      </c>
      <c r="E46" s="13" t="s">
        <v>386</v>
      </c>
      <c r="F46" s="15" t="s">
        <v>22</v>
      </c>
      <c r="G46" s="12" t="s">
        <v>38</v>
      </c>
      <c r="H46" s="91" t="s">
        <v>361</v>
      </c>
      <c r="I46" s="16" t="n">
        <v>342.0024</v>
      </c>
      <c r="J46" s="17" t="n">
        <v>342</v>
      </c>
      <c r="K46" s="21" t="n">
        <v>127</v>
      </c>
      <c r="L46" s="18" t="n">
        <v>46000.375</v>
      </c>
      <c r="M46" s="19" t="s">
        <v>24</v>
      </c>
    </row>
    <row r="47" customFormat="false" ht="15.75" hidden="false" customHeight="true" outlineLevel="0" collapsed="false">
      <c r="A47" s="89" t="n">
        <v>43</v>
      </c>
      <c r="B47" s="98" t="s">
        <v>55</v>
      </c>
      <c r="C47" s="11" t="s">
        <v>138</v>
      </c>
      <c r="D47" s="12" t="s">
        <v>139</v>
      </c>
      <c r="E47" s="13" t="s">
        <v>140</v>
      </c>
      <c r="F47" s="15" t="s">
        <v>22</v>
      </c>
      <c r="G47" s="12" t="s">
        <v>47</v>
      </c>
      <c r="H47" s="91" t="s">
        <v>361</v>
      </c>
      <c r="I47" s="16" t="n">
        <v>292</v>
      </c>
      <c r="J47" s="17" t="n">
        <v>292</v>
      </c>
      <c r="K47" s="21" t="n">
        <v>92</v>
      </c>
      <c r="L47" s="18" t="n">
        <v>46041.5833333333</v>
      </c>
      <c r="M47" s="19" t="s">
        <v>24</v>
      </c>
    </row>
    <row r="48" customFormat="false" ht="15.75" hidden="false" customHeight="true" outlineLevel="0" collapsed="false">
      <c r="A48" s="89" t="n">
        <v>44</v>
      </c>
      <c r="B48" s="98" t="s">
        <v>55</v>
      </c>
      <c r="C48" s="11" t="s">
        <v>387</v>
      </c>
      <c r="D48" s="12" t="s">
        <v>101</v>
      </c>
      <c r="E48" s="13" t="s">
        <v>375</v>
      </c>
      <c r="F48" s="15" t="s">
        <v>22</v>
      </c>
      <c r="G48" s="12" t="s">
        <v>38</v>
      </c>
      <c r="H48" s="99" t="s">
        <v>370</v>
      </c>
      <c r="I48" s="16" t="n">
        <v>0</v>
      </c>
      <c r="J48" s="17" t="n">
        <v>3900</v>
      </c>
      <c r="K48" s="21" t="n">
        <v>427</v>
      </c>
      <c r="L48" s="18" t="n">
        <v>45875.3270833333</v>
      </c>
      <c r="M48" s="19" t="s">
        <v>24</v>
      </c>
    </row>
    <row r="49" customFormat="false" ht="15.75" hidden="false" customHeight="true" outlineLevel="0" collapsed="false">
      <c r="A49" s="89" t="n">
        <v>45</v>
      </c>
      <c r="B49" s="98" t="s">
        <v>55</v>
      </c>
      <c r="C49" s="11" t="s">
        <v>388</v>
      </c>
      <c r="D49" s="12" t="s">
        <v>389</v>
      </c>
      <c r="E49" s="13" t="s">
        <v>390</v>
      </c>
      <c r="F49" s="15" t="s">
        <v>22</v>
      </c>
      <c r="G49" s="12" t="s">
        <v>38</v>
      </c>
      <c r="H49" s="99" t="s">
        <v>370</v>
      </c>
      <c r="I49" s="16" t="n">
        <v>0</v>
      </c>
      <c r="J49" s="17" t="n">
        <v>2837</v>
      </c>
      <c r="K49" s="21" t="n">
        <v>551</v>
      </c>
      <c r="L49" s="18" t="n">
        <v>45835.4375</v>
      </c>
      <c r="M49" s="19" t="s">
        <v>24</v>
      </c>
    </row>
    <row r="50" customFormat="false" ht="15.75" hidden="false" customHeight="true" outlineLevel="0" collapsed="false">
      <c r="A50" s="92" t="n">
        <v>46</v>
      </c>
      <c r="B50" s="100" t="s">
        <v>55</v>
      </c>
      <c r="C50" s="32" t="s">
        <v>144</v>
      </c>
      <c r="D50" s="33" t="s">
        <v>145</v>
      </c>
      <c r="E50" s="34" t="s">
        <v>146</v>
      </c>
      <c r="F50" s="36" t="s">
        <v>54</v>
      </c>
      <c r="G50" s="33" t="s">
        <v>23</v>
      </c>
      <c r="H50" s="94" t="s">
        <v>361</v>
      </c>
      <c r="I50" s="38" t="n">
        <v>4030.39</v>
      </c>
      <c r="J50" s="39" t="n">
        <v>4030.39</v>
      </c>
      <c r="K50" s="45" t="n">
        <v>176</v>
      </c>
      <c r="L50" s="40"/>
      <c r="M50" s="41" t="s">
        <v>24</v>
      </c>
    </row>
    <row r="51" customFormat="false" ht="15.75" hidden="false" customHeight="true" outlineLevel="0" collapsed="false">
      <c r="A51" s="92" t="n">
        <v>47</v>
      </c>
      <c r="B51" s="100" t="s">
        <v>55</v>
      </c>
      <c r="C51" s="32" t="s">
        <v>147</v>
      </c>
      <c r="D51" s="33" t="s">
        <v>148</v>
      </c>
      <c r="E51" s="34" t="s">
        <v>149</v>
      </c>
      <c r="F51" s="36" t="s">
        <v>54</v>
      </c>
      <c r="G51" s="37"/>
      <c r="H51" s="94" t="s">
        <v>361</v>
      </c>
      <c r="I51" s="38" t="n">
        <v>3278</v>
      </c>
      <c r="J51" s="39" t="n">
        <v>3278</v>
      </c>
      <c r="K51" s="45" t="n">
        <v>179</v>
      </c>
      <c r="L51" s="40"/>
      <c r="M51" s="41" t="s">
        <v>24</v>
      </c>
    </row>
    <row r="52" customFormat="false" ht="15.75" hidden="false" customHeight="true" outlineLevel="0" collapsed="false">
      <c r="A52" s="92" t="n">
        <v>48</v>
      </c>
      <c r="B52" s="100" t="s">
        <v>55</v>
      </c>
      <c r="C52" s="32" t="s">
        <v>150</v>
      </c>
      <c r="D52" s="33" t="s">
        <v>151</v>
      </c>
      <c r="E52" s="34" t="s">
        <v>113</v>
      </c>
      <c r="F52" s="36" t="s">
        <v>54</v>
      </c>
      <c r="G52" s="37"/>
      <c r="H52" s="94" t="s">
        <v>361</v>
      </c>
      <c r="I52" s="38" t="n">
        <v>3104</v>
      </c>
      <c r="J52" s="39" t="n">
        <v>3104</v>
      </c>
      <c r="K52" s="45" t="n">
        <v>187</v>
      </c>
      <c r="L52" s="40"/>
      <c r="M52" s="41" t="s">
        <v>24</v>
      </c>
    </row>
    <row r="53" customFormat="false" ht="15.75" hidden="false" customHeight="true" outlineLevel="0" collapsed="false">
      <c r="A53" s="92" t="n">
        <v>49</v>
      </c>
      <c r="B53" s="100" t="s">
        <v>55</v>
      </c>
      <c r="C53" s="32" t="s">
        <v>152</v>
      </c>
      <c r="D53" s="33" t="s">
        <v>153</v>
      </c>
      <c r="E53" s="34" t="s">
        <v>391</v>
      </c>
      <c r="F53" s="36" t="s">
        <v>54</v>
      </c>
      <c r="G53" s="33" t="s">
        <v>23</v>
      </c>
      <c r="H53" s="94" t="s">
        <v>361</v>
      </c>
      <c r="I53" s="38" t="n">
        <v>2780.003</v>
      </c>
      <c r="J53" s="39" t="n">
        <v>2780</v>
      </c>
      <c r="K53" s="45" t="n">
        <v>238</v>
      </c>
      <c r="L53" s="40" t="n">
        <v>45890.3333333333</v>
      </c>
      <c r="M53" s="41" t="s">
        <v>24</v>
      </c>
    </row>
    <row r="54" customFormat="false" ht="15.75" hidden="false" customHeight="true" outlineLevel="0" collapsed="false">
      <c r="A54" s="92" t="n">
        <v>50</v>
      </c>
      <c r="B54" s="100" t="s">
        <v>55</v>
      </c>
      <c r="C54" s="32" t="s">
        <v>155</v>
      </c>
      <c r="D54" s="33" t="s">
        <v>156</v>
      </c>
      <c r="E54" s="34" t="s">
        <v>392</v>
      </c>
      <c r="F54" s="36" t="s">
        <v>54</v>
      </c>
      <c r="G54" s="33" t="s">
        <v>23</v>
      </c>
      <c r="H54" s="94" t="s">
        <v>361</v>
      </c>
      <c r="I54" s="38" t="n">
        <v>2360</v>
      </c>
      <c r="J54" s="39" t="n">
        <v>2360</v>
      </c>
      <c r="K54" s="45" t="n">
        <v>249</v>
      </c>
      <c r="L54" s="40"/>
      <c r="M54" s="41" t="s">
        <v>24</v>
      </c>
    </row>
    <row r="55" customFormat="false" ht="15.75" hidden="false" customHeight="true" outlineLevel="0" collapsed="false">
      <c r="A55" s="92" t="n">
        <v>51</v>
      </c>
      <c r="B55" s="100" t="s">
        <v>55</v>
      </c>
      <c r="C55" s="32" t="s">
        <v>158</v>
      </c>
      <c r="D55" s="33" t="s">
        <v>159</v>
      </c>
      <c r="E55" s="34" t="s">
        <v>160</v>
      </c>
      <c r="F55" s="36" t="s">
        <v>54</v>
      </c>
      <c r="G55" s="37"/>
      <c r="H55" s="94" t="s">
        <v>361</v>
      </c>
      <c r="I55" s="38" t="n">
        <v>1970</v>
      </c>
      <c r="J55" s="39" t="n">
        <v>1970</v>
      </c>
      <c r="K55" s="45" t="n">
        <v>361</v>
      </c>
      <c r="L55" s="40"/>
      <c r="M55" s="41" t="s">
        <v>24</v>
      </c>
    </row>
    <row r="56" customFormat="false" ht="15.75" hidden="false" customHeight="true" outlineLevel="0" collapsed="false">
      <c r="A56" s="92" t="n">
        <v>52</v>
      </c>
      <c r="B56" s="100" t="s">
        <v>55</v>
      </c>
      <c r="C56" s="32" t="s">
        <v>161</v>
      </c>
      <c r="D56" s="33" t="s">
        <v>162</v>
      </c>
      <c r="E56" s="34" t="s">
        <v>393</v>
      </c>
      <c r="F56" s="36" t="s">
        <v>54</v>
      </c>
      <c r="G56" s="37"/>
      <c r="H56" s="94" t="s">
        <v>361</v>
      </c>
      <c r="I56" s="38" t="n">
        <v>6400</v>
      </c>
      <c r="J56" s="39"/>
      <c r="K56" s="45" t="n">
        <v>252</v>
      </c>
      <c r="L56" s="40"/>
      <c r="M56" s="41" t="s">
        <v>24</v>
      </c>
    </row>
    <row r="57" customFormat="false" ht="15.75" hidden="false" customHeight="true" outlineLevel="0" collapsed="false">
      <c r="A57" s="89" t="n">
        <v>53</v>
      </c>
      <c r="B57" s="98" t="s">
        <v>55</v>
      </c>
      <c r="C57" s="11" t="s">
        <v>164</v>
      </c>
      <c r="D57" s="12" t="s">
        <v>103</v>
      </c>
      <c r="E57" s="13" t="s">
        <v>379</v>
      </c>
      <c r="F57" s="15" t="s">
        <v>22</v>
      </c>
      <c r="G57" s="12" t="s">
        <v>38</v>
      </c>
      <c r="H57" s="91" t="s">
        <v>361</v>
      </c>
      <c r="I57" s="16" t="n">
        <v>1200</v>
      </c>
      <c r="J57" s="17"/>
      <c r="K57" s="21" t="n">
        <v>264</v>
      </c>
      <c r="L57" s="18" t="n">
        <v>45859.2916666667</v>
      </c>
      <c r="M57" s="19" t="s">
        <v>24</v>
      </c>
    </row>
    <row r="58" customFormat="false" ht="15.75" hidden="false" customHeight="true" outlineLevel="0" collapsed="false">
      <c r="A58" s="89" t="n">
        <v>54</v>
      </c>
      <c r="B58" s="98" t="s">
        <v>55</v>
      </c>
      <c r="C58" s="11" t="s">
        <v>394</v>
      </c>
      <c r="D58" s="12" t="s">
        <v>395</v>
      </c>
      <c r="E58" s="13" t="s">
        <v>396</v>
      </c>
      <c r="F58" s="15" t="s">
        <v>22</v>
      </c>
      <c r="G58" s="12" t="s">
        <v>47</v>
      </c>
      <c r="H58" s="99" t="s">
        <v>370</v>
      </c>
      <c r="I58" s="16" t="n">
        <v>580</v>
      </c>
      <c r="J58" s="17"/>
      <c r="K58" s="21" t="n">
        <v>107</v>
      </c>
      <c r="L58" s="18"/>
      <c r="M58" s="19" t="s">
        <v>24</v>
      </c>
    </row>
    <row r="59" customFormat="false" ht="15.75" hidden="false" customHeight="true" outlineLevel="0" collapsed="false">
      <c r="A59" s="89" t="n">
        <v>55</v>
      </c>
      <c r="B59" s="98" t="s">
        <v>55</v>
      </c>
      <c r="C59" s="11" t="s">
        <v>397</v>
      </c>
      <c r="D59" s="12" t="s">
        <v>101</v>
      </c>
      <c r="E59" s="13" t="s">
        <v>360</v>
      </c>
      <c r="F59" s="15" t="s">
        <v>22</v>
      </c>
      <c r="G59" s="12" t="s">
        <v>47</v>
      </c>
      <c r="H59" s="99" t="s">
        <v>370</v>
      </c>
      <c r="I59" s="16" t="n">
        <v>460</v>
      </c>
      <c r="J59" s="17"/>
      <c r="K59" s="21" t="n">
        <v>162</v>
      </c>
      <c r="L59" s="18" t="n">
        <v>45957.59375</v>
      </c>
      <c r="M59" s="19" t="s">
        <v>24</v>
      </c>
    </row>
    <row r="60" customFormat="false" ht="15.75" hidden="false" customHeight="true" outlineLevel="0" collapsed="false">
      <c r="A60" s="89" t="n">
        <v>56</v>
      </c>
      <c r="B60" s="98" t="s">
        <v>55</v>
      </c>
      <c r="C60" s="11" t="s">
        <v>398</v>
      </c>
      <c r="D60" s="12" t="s">
        <v>81</v>
      </c>
      <c r="E60" s="13" t="s">
        <v>82</v>
      </c>
      <c r="F60" s="15" t="s">
        <v>22</v>
      </c>
      <c r="G60" s="12" t="s">
        <v>47</v>
      </c>
      <c r="H60" s="99" t="s">
        <v>370</v>
      </c>
      <c r="I60" s="16" t="n">
        <v>460</v>
      </c>
      <c r="J60" s="17"/>
      <c r="K60" s="21" t="n">
        <v>173</v>
      </c>
      <c r="L60" s="18" t="n">
        <v>45950.3333333333</v>
      </c>
      <c r="M60" s="19" t="s">
        <v>24</v>
      </c>
    </row>
    <row r="61" customFormat="false" ht="15.75" hidden="false" customHeight="true" outlineLevel="0" collapsed="false">
      <c r="A61" s="89" t="n">
        <v>57</v>
      </c>
      <c r="B61" s="98" t="s">
        <v>55</v>
      </c>
      <c r="C61" s="11" t="s">
        <v>399</v>
      </c>
      <c r="D61" s="12" t="s">
        <v>400</v>
      </c>
      <c r="E61" s="13" t="s">
        <v>82</v>
      </c>
      <c r="F61" s="15" t="s">
        <v>22</v>
      </c>
      <c r="G61" s="12" t="s">
        <v>47</v>
      </c>
      <c r="H61" s="99" t="s">
        <v>370</v>
      </c>
      <c r="I61" s="16" t="n">
        <v>460</v>
      </c>
      <c r="J61" s="17"/>
      <c r="K61" s="21" t="n">
        <v>118</v>
      </c>
      <c r="L61" s="18" t="n">
        <v>46001.5208333333</v>
      </c>
      <c r="M61" s="19" t="s">
        <v>24</v>
      </c>
    </row>
    <row r="62" customFormat="false" ht="15.75" hidden="false" customHeight="true" outlineLevel="0" collapsed="false">
      <c r="A62" s="89" t="n">
        <v>58</v>
      </c>
      <c r="B62" s="98" t="s">
        <v>55</v>
      </c>
      <c r="C62" s="11" t="s">
        <v>401</v>
      </c>
      <c r="D62" s="12" t="s">
        <v>20</v>
      </c>
      <c r="E62" s="13" t="s">
        <v>375</v>
      </c>
      <c r="F62" s="15" t="s">
        <v>22</v>
      </c>
      <c r="G62" s="12" t="s">
        <v>47</v>
      </c>
      <c r="H62" s="99" t="s">
        <v>370</v>
      </c>
      <c r="I62" s="16" t="n">
        <v>460</v>
      </c>
      <c r="J62" s="17"/>
      <c r="K62" s="21" t="n">
        <v>176</v>
      </c>
      <c r="L62" s="18" t="n">
        <v>46031.4166666667</v>
      </c>
      <c r="M62" s="19" t="s">
        <v>24</v>
      </c>
    </row>
    <row r="63" customFormat="false" ht="15.75" hidden="false" customHeight="true" outlineLevel="0" collapsed="false">
      <c r="A63" s="89" t="n">
        <v>59</v>
      </c>
      <c r="B63" s="98" t="s">
        <v>55</v>
      </c>
      <c r="C63" s="11" t="s">
        <v>402</v>
      </c>
      <c r="D63" s="12" t="s">
        <v>64</v>
      </c>
      <c r="E63" s="13" t="s">
        <v>372</v>
      </c>
      <c r="F63" s="15" t="s">
        <v>22</v>
      </c>
      <c r="G63" s="12" t="s">
        <v>47</v>
      </c>
      <c r="H63" s="99" t="s">
        <v>370</v>
      </c>
      <c r="I63" s="16" t="n">
        <v>460</v>
      </c>
      <c r="J63" s="17"/>
      <c r="K63" s="21" t="n">
        <v>148</v>
      </c>
      <c r="L63" s="18" t="n">
        <v>45973.25</v>
      </c>
      <c r="M63" s="19" t="s">
        <v>24</v>
      </c>
    </row>
    <row r="64" customFormat="false" ht="15.75" hidden="false" customHeight="true" outlineLevel="0" collapsed="false">
      <c r="A64" s="92" t="n">
        <v>60</v>
      </c>
      <c r="B64" s="100" t="s">
        <v>55</v>
      </c>
      <c r="C64" s="32" t="s">
        <v>403</v>
      </c>
      <c r="D64" s="33" t="s">
        <v>162</v>
      </c>
      <c r="E64" s="34" t="s">
        <v>393</v>
      </c>
      <c r="F64" s="36" t="s">
        <v>54</v>
      </c>
      <c r="G64" s="37"/>
      <c r="H64" s="101" t="s">
        <v>370</v>
      </c>
      <c r="I64" s="38" t="n">
        <v>130</v>
      </c>
      <c r="J64" s="39" t="n">
        <v>4900</v>
      </c>
      <c r="K64" s="45" t="n">
        <v>427</v>
      </c>
      <c r="L64" s="40"/>
      <c r="M64" s="41" t="s">
        <v>24</v>
      </c>
    </row>
    <row r="65" customFormat="false" ht="15.75" hidden="false" customHeight="true" outlineLevel="0" collapsed="false">
      <c r="A65" s="89" t="n">
        <v>61</v>
      </c>
      <c r="B65" s="98" t="s">
        <v>55</v>
      </c>
      <c r="C65" s="11" t="s">
        <v>165</v>
      </c>
      <c r="D65" s="12" t="s">
        <v>166</v>
      </c>
      <c r="E65" s="13" t="s">
        <v>167</v>
      </c>
      <c r="F65" s="15" t="s">
        <v>22</v>
      </c>
      <c r="G65" s="12" t="s">
        <v>47</v>
      </c>
      <c r="H65" s="91" t="s">
        <v>361</v>
      </c>
      <c r="I65" s="16" t="n">
        <v>4947.5221</v>
      </c>
      <c r="J65" s="17" t="n">
        <v>4947.53</v>
      </c>
      <c r="K65" s="14" t="n">
        <v>60</v>
      </c>
      <c r="L65" s="18" t="n">
        <v>46084.25</v>
      </c>
      <c r="M65" s="19" t="s">
        <v>24</v>
      </c>
    </row>
    <row r="66" customFormat="false" ht="15.75" hidden="false" customHeight="true" outlineLevel="0" collapsed="false">
      <c r="A66" s="92" t="n">
        <v>62</v>
      </c>
      <c r="B66" s="100" t="s">
        <v>55</v>
      </c>
      <c r="C66" s="32" t="s">
        <v>404</v>
      </c>
      <c r="D66" s="33" t="s">
        <v>230</v>
      </c>
      <c r="E66" s="34" t="s">
        <v>375</v>
      </c>
      <c r="F66" s="36" t="s">
        <v>54</v>
      </c>
      <c r="G66" s="33" t="s">
        <v>38</v>
      </c>
      <c r="H66" s="101" t="s">
        <v>370</v>
      </c>
      <c r="I66" s="38" t="n">
        <v>0</v>
      </c>
      <c r="J66" s="39" t="n">
        <v>3300</v>
      </c>
      <c r="K66" s="45" t="n">
        <v>427</v>
      </c>
      <c r="L66" s="40" t="n">
        <v>45834.2916666667</v>
      </c>
      <c r="M66" s="41" t="s">
        <v>24</v>
      </c>
    </row>
    <row r="67" customFormat="false" ht="15.75" hidden="false" customHeight="true" outlineLevel="0" collapsed="false">
      <c r="A67" s="89" t="n">
        <v>63</v>
      </c>
      <c r="B67" s="98" t="s">
        <v>55</v>
      </c>
      <c r="C67" s="11" t="s">
        <v>168</v>
      </c>
      <c r="D67" s="12" t="s">
        <v>169</v>
      </c>
      <c r="E67" s="13" t="s">
        <v>170</v>
      </c>
      <c r="F67" s="15" t="s">
        <v>22</v>
      </c>
      <c r="G67" s="12" t="s">
        <v>23</v>
      </c>
      <c r="H67" s="91" t="s">
        <v>361</v>
      </c>
      <c r="I67" s="16" t="n">
        <v>4630.008</v>
      </c>
      <c r="J67" s="17" t="n">
        <v>4630.01</v>
      </c>
      <c r="K67" s="14" t="n">
        <v>76</v>
      </c>
      <c r="L67" s="18" t="n">
        <v>46049.4138888889</v>
      </c>
      <c r="M67" s="19" t="s">
        <v>24</v>
      </c>
    </row>
    <row r="68" customFormat="false" ht="15.75" hidden="false" customHeight="true" outlineLevel="0" collapsed="false">
      <c r="A68" s="89" t="n">
        <v>64</v>
      </c>
      <c r="B68" s="98" t="s">
        <v>55</v>
      </c>
      <c r="C68" s="11" t="s">
        <v>171</v>
      </c>
      <c r="D68" s="12" t="s">
        <v>172</v>
      </c>
      <c r="E68" s="13" t="s">
        <v>173</v>
      </c>
      <c r="F68" s="15" t="s">
        <v>22</v>
      </c>
      <c r="G68" s="12" t="s">
        <v>47</v>
      </c>
      <c r="H68" s="91" t="s">
        <v>361</v>
      </c>
      <c r="I68" s="16" t="n">
        <v>4568.813</v>
      </c>
      <c r="J68" s="17" t="n">
        <v>4568.8</v>
      </c>
      <c r="K68" s="14" t="n">
        <v>50</v>
      </c>
      <c r="L68" s="18" t="n">
        <v>46078.3541666667</v>
      </c>
      <c r="M68" s="19" t="s">
        <v>24</v>
      </c>
    </row>
    <row r="69" customFormat="false" ht="15.75" hidden="false" customHeight="true" outlineLevel="0" collapsed="false">
      <c r="A69" s="89" t="n">
        <v>65</v>
      </c>
      <c r="B69" s="98" t="s">
        <v>55</v>
      </c>
      <c r="C69" s="11" t="s">
        <v>174</v>
      </c>
      <c r="D69" s="12" t="s">
        <v>175</v>
      </c>
      <c r="E69" s="13" t="s">
        <v>385</v>
      </c>
      <c r="F69" s="15" t="s">
        <v>22</v>
      </c>
      <c r="G69" s="12" t="s">
        <v>38</v>
      </c>
      <c r="H69" s="91" t="s">
        <v>361</v>
      </c>
      <c r="I69" s="16" t="n">
        <v>3435.009</v>
      </c>
      <c r="J69" s="17" t="n">
        <v>3435.01</v>
      </c>
      <c r="K69" s="14" t="n">
        <v>62</v>
      </c>
      <c r="L69" s="18" t="n">
        <v>46077.4479166667</v>
      </c>
      <c r="M69" s="19" t="s">
        <v>24</v>
      </c>
    </row>
    <row r="70" customFormat="false" ht="15.75" hidden="false" customHeight="true" outlineLevel="0" collapsed="false">
      <c r="A70" s="92" t="n">
        <v>66</v>
      </c>
      <c r="B70" s="100" t="s">
        <v>55</v>
      </c>
      <c r="C70" s="32" t="s">
        <v>405</v>
      </c>
      <c r="D70" s="33" t="s">
        <v>46</v>
      </c>
      <c r="E70" s="34" t="s">
        <v>375</v>
      </c>
      <c r="F70" s="36" t="s">
        <v>54</v>
      </c>
      <c r="G70" s="37"/>
      <c r="H70" s="101" t="s">
        <v>370</v>
      </c>
      <c r="I70" s="38" t="n">
        <v>3300</v>
      </c>
      <c r="J70" s="39"/>
      <c r="K70" s="45" t="n">
        <v>427</v>
      </c>
      <c r="L70" s="40"/>
      <c r="M70" s="41" t="s">
        <v>24</v>
      </c>
    </row>
    <row r="71" customFormat="false" ht="15.75" hidden="false" customHeight="true" outlineLevel="0" collapsed="false">
      <c r="A71" s="89" t="n">
        <v>67</v>
      </c>
      <c r="B71" s="98" t="s">
        <v>55</v>
      </c>
      <c r="C71" s="11" t="s">
        <v>179</v>
      </c>
      <c r="D71" s="12" t="s">
        <v>180</v>
      </c>
      <c r="E71" s="13" t="s">
        <v>181</v>
      </c>
      <c r="F71" s="15" t="s">
        <v>22</v>
      </c>
      <c r="G71" s="12" t="s">
        <v>23</v>
      </c>
      <c r="H71" s="91" t="s">
        <v>361</v>
      </c>
      <c r="I71" s="16" t="n">
        <v>3133.2258</v>
      </c>
      <c r="J71" s="17" t="n">
        <v>3133.22</v>
      </c>
      <c r="K71" s="14" t="n">
        <v>55</v>
      </c>
      <c r="L71" s="18" t="n">
        <v>46076.25</v>
      </c>
      <c r="M71" s="19" t="s">
        <v>24</v>
      </c>
    </row>
    <row r="72" customFormat="false" ht="15.75" hidden="false" customHeight="true" outlineLevel="0" collapsed="false">
      <c r="A72" s="89" t="n">
        <v>68</v>
      </c>
      <c r="B72" s="98" t="s">
        <v>55</v>
      </c>
      <c r="C72" s="11" t="s">
        <v>176</v>
      </c>
      <c r="D72" s="12" t="s">
        <v>177</v>
      </c>
      <c r="E72" s="13" t="s">
        <v>406</v>
      </c>
      <c r="F72" s="15" t="s">
        <v>22</v>
      </c>
      <c r="G72" s="12" t="s">
        <v>23</v>
      </c>
      <c r="H72" s="91" t="s">
        <v>361</v>
      </c>
      <c r="I72" s="16" t="n">
        <v>3183.004</v>
      </c>
      <c r="J72" s="17" t="n">
        <v>3183</v>
      </c>
      <c r="K72" s="14" t="n">
        <v>35</v>
      </c>
      <c r="L72" s="18" t="n">
        <v>46087.4166666667</v>
      </c>
      <c r="M72" s="19" t="s">
        <v>24</v>
      </c>
    </row>
    <row r="73" customFormat="false" ht="15.75" hidden="false" customHeight="true" outlineLevel="0" collapsed="false">
      <c r="A73" s="89" t="n">
        <v>69</v>
      </c>
      <c r="B73" s="98" t="s">
        <v>55</v>
      </c>
      <c r="C73" s="11" t="s">
        <v>186</v>
      </c>
      <c r="D73" s="12" t="s">
        <v>187</v>
      </c>
      <c r="E73" s="13" t="s">
        <v>407</v>
      </c>
      <c r="F73" s="15" t="s">
        <v>22</v>
      </c>
      <c r="G73" s="12" t="s">
        <v>189</v>
      </c>
      <c r="H73" s="91" t="s">
        <v>361</v>
      </c>
      <c r="I73" s="16" t="n">
        <v>2388.008</v>
      </c>
      <c r="J73" s="17" t="n">
        <v>2388</v>
      </c>
      <c r="K73" s="14" t="n">
        <v>39</v>
      </c>
      <c r="L73" s="18" t="n">
        <v>46086.4833333333</v>
      </c>
      <c r="M73" s="19" t="s">
        <v>24</v>
      </c>
    </row>
    <row r="74" customFormat="false" ht="15.75" hidden="false" customHeight="true" outlineLevel="0" collapsed="false">
      <c r="A74" s="89" t="n">
        <v>70</v>
      </c>
      <c r="B74" s="98" t="s">
        <v>55</v>
      </c>
      <c r="C74" s="11" t="s">
        <v>182</v>
      </c>
      <c r="D74" s="12" t="s">
        <v>183</v>
      </c>
      <c r="E74" s="13" t="s">
        <v>372</v>
      </c>
      <c r="F74" s="15" t="s">
        <v>22</v>
      </c>
      <c r="G74" s="12" t="s">
        <v>23</v>
      </c>
      <c r="H74" s="91" t="s">
        <v>361</v>
      </c>
      <c r="I74" s="16" t="n">
        <v>2431.2052</v>
      </c>
      <c r="J74" s="17" t="n">
        <v>2431.2</v>
      </c>
      <c r="K74" s="14" t="n">
        <v>83</v>
      </c>
      <c r="L74" s="18" t="n">
        <v>46055.25</v>
      </c>
      <c r="M74" s="19" t="s">
        <v>24</v>
      </c>
    </row>
    <row r="75" customFormat="false" ht="15.75" hidden="false" customHeight="true" outlineLevel="0" collapsed="false">
      <c r="A75" s="89" t="n">
        <v>71</v>
      </c>
      <c r="B75" s="98" t="s">
        <v>55</v>
      </c>
      <c r="C75" s="11" t="s">
        <v>184</v>
      </c>
      <c r="D75" s="12" t="s">
        <v>185</v>
      </c>
      <c r="E75" s="13" t="s">
        <v>149</v>
      </c>
      <c r="F75" s="15" t="s">
        <v>22</v>
      </c>
      <c r="G75" s="12" t="s">
        <v>23</v>
      </c>
      <c r="H75" s="91" t="s">
        <v>361</v>
      </c>
      <c r="I75" s="16" t="n">
        <v>2340</v>
      </c>
      <c r="J75" s="17" t="n">
        <v>2340</v>
      </c>
      <c r="K75" s="14" t="n">
        <v>57</v>
      </c>
      <c r="L75" s="18" t="n">
        <v>46080.25</v>
      </c>
      <c r="M75" s="19" t="s">
        <v>24</v>
      </c>
    </row>
    <row r="76" customFormat="false" ht="15.75" hidden="false" customHeight="true" outlineLevel="0" collapsed="false">
      <c r="A76" s="89" t="n">
        <v>72</v>
      </c>
      <c r="B76" s="98" t="s">
        <v>55</v>
      </c>
      <c r="C76" s="11" t="s">
        <v>192</v>
      </c>
      <c r="D76" s="12" t="s">
        <v>193</v>
      </c>
      <c r="E76" s="13" t="s">
        <v>408</v>
      </c>
      <c r="F76" s="15" t="s">
        <v>22</v>
      </c>
      <c r="G76" s="12" t="s">
        <v>38</v>
      </c>
      <c r="H76" s="91" t="s">
        <v>361</v>
      </c>
      <c r="I76" s="16" t="n">
        <v>2425.8222</v>
      </c>
      <c r="J76" s="17" t="n">
        <v>2425.82</v>
      </c>
      <c r="K76" s="14" t="n">
        <v>48</v>
      </c>
      <c r="L76" s="18" t="n">
        <v>46099.25</v>
      </c>
      <c r="M76" s="19" t="s">
        <v>24</v>
      </c>
    </row>
    <row r="77" customFormat="false" ht="15.75" hidden="false" customHeight="true" outlineLevel="0" collapsed="false">
      <c r="A77" s="89" t="n">
        <v>73</v>
      </c>
      <c r="B77" s="98" t="s">
        <v>55</v>
      </c>
      <c r="C77" s="11" t="s">
        <v>190</v>
      </c>
      <c r="D77" s="12" t="s">
        <v>191</v>
      </c>
      <c r="E77" s="13" t="s">
        <v>385</v>
      </c>
      <c r="F77" s="15" t="s">
        <v>22</v>
      </c>
      <c r="G77" s="12" t="s">
        <v>23</v>
      </c>
      <c r="H77" s="91" t="s">
        <v>361</v>
      </c>
      <c r="I77" s="16" t="n">
        <v>7392.3055</v>
      </c>
      <c r="J77" s="17" t="n">
        <v>7392.3</v>
      </c>
      <c r="K77" s="47" t="n">
        <v>28</v>
      </c>
      <c r="L77" s="18" t="n">
        <v>46107.2923611111</v>
      </c>
      <c r="M77" s="19" t="s">
        <v>24</v>
      </c>
    </row>
    <row r="78" customFormat="false" ht="15.75" hidden="false" customHeight="true" outlineLevel="0" collapsed="false">
      <c r="A78" s="89" t="n">
        <v>74</v>
      </c>
      <c r="B78" s="98" t="s">
        <v>55</v>
      </c>
      <c r="C78" s="11" t="s">
        <v>195</v>
      </c>
      <c r="D78" s="12" t="s">
        <v>185</v>
      </c>
      <c r="E78" s="13" t="s">
        <v>149</v>
      </c>
      <c r="F78" s="15" t="s">
        <v>22</v>
      </c>
      <c r="G78" s="12" t="s">
        <v>38</v>
      </c>
      <c r="H78" s="91" t="s">
        <v>361</v>
      </c>
      <c r="I78" s="16" t="n">
        <v>2050.005</v>
      </c>
      <c r="J78" s="17" t="n">
        <v>2050</v>
      </c>
      <c r="K78" s="14" t="n">
        <v>57</v>
      </c>
      <c r="L78" s="18" t="n">
        <v>46070.25</v>
      </c>
      <c r="M78" s="19" t="s">
        <v>24</v>
      </c>
    </row>
    <row r="79" customFormat="false" ht="15.75" hidden="false" customHeight="true" outlineLevel="0" collapsed="false">
      <c r="A79" s="89" t="n">
        <v>75</v>
      </c>
      <c r="B79" s="98" t="s">
        <v>55</v>
      </c>
      <c r="C79" s="11" t="s">
        <v>196</v>
      </c>
      <c r="D79" s="12" t="s">
        <v>197</v>
      </c>
      <c r="E79" s="13" t="s">
        <v>409</v>
      </c>
      <c r="F79" s="15" t="s">
        <v>22</v>
      </c>
      <c r="G79" s="12" t="s">
        <v>23</v>
      </c>
      <c r="H79" s="91" t="s">
        <v>361</v>
      </c>
      <c r="I79" s="16" t="n">
        <v>2069.927</v>
      </c>
      <c r="J79" s="17" t="n">
        <v>2069.93</v>
      </c>
      <c r="K79" s="14" t="n">
        <v>74</v>
      </c>
      <c r="L79" s="18" t="n">
        <v>46058.3944444444</v>
      </c>
      <c r="M79" s="19" t="s">
        <v>24</v>
      </c>
    </row>
    <row r="80" customFormat="false" ht="15.75" hidden="false" customHeight="true" outlineLevel="0" collapsed="false">
      <c r="A80" s="89" t="n">
        <v>76</v>
      </c>
      <c r="B80" s="98" t="s">
        <v>55</v>
      </c>
      <c r="C80" s="11" t="s">
        <v>199</v>
      </c>
      <c r="D80" s="12" t="s">
        <v>200</v>
      </c>
      <c r="E80" s="13" t="s">
        <v>372</v>
      </c>
      <c r="F80" s="15" t="s">
        <v>22</v>
      </c>
      <c r="G80" s="12" t="s">
        <v>47</v>
      </c>
      <c r="H80" s="91" t="s">
        <v>361</v>
      </c>
      <c r="I80" s="16" t="n">
        <v>1560.006</v>
      </c>
      <c r="J80" s="17" t="n">
        <v>1560.01</v>
      </c>
      <c r="K80" s="14" t="n">
        <v>83</v>
      </c>
      <c r="L80" s="18" t="n">
        <v>46055.4166666667</v>
      </c>
      <c r="M80" s="19" t="s">
        <v>24</v>
      </c>
    </row>
    <row r="81" customFormat="false" ht="15.75" hidden="false" customHeight="true" outlineLevel="0" collapsed="false">
      <c r="A81" s="89" t="n">
        <v>77</v>
      </c>
      <c r="B81" s="98" t="s">
        <v>55</v>
      </c>
      <c r="C81" s="11" t="s">
        <v>201</v>
      </c>
      <c r="D81" s="12" t="s">
        <v>202</v>
      </c>
      <c r="E81" s="13" t="s">
        <v>410</v>
      </c>
      <c r="F81" s="15" t="s">
        <v>22</v>
      </c>
      <c r="G81" s="12" t="s">
        <v>23</v>
      </c>
      <c r="H81" s="91" t="s">
        <v>361</v>
      </c>
      <c r="I81" s="16" t="n">
        <v>1315.8271</v>
      </c>
      <c r="J81" s="17" t="n">
        <v>1315.83</v>
      </c>
      <c r="K81" s="14" t="n">
        <v>69</v>
      </c>
      <c r="L81" s="18" t="n">
        <v>46056.55625</v>
      </c>
      <c r="M81" s="19" t="s">
        <v>24</v>
      </c>
    </row>
    <row r="82" customFormat="false" ht="15.75" hidden="false" customHeight="true" outlineLevel="0" collapsed="false">
      <c r="A82" s="89" t="n">
        <v>78</v>
      </c>
      <c r="B82" s="98" t="s">
        <v>55</v>
      </c>
      <c r="C82" s="11" t="s">
        <v>207</v>
      </c>
      <c r="D82" s="12" t="s">
        <v>208</v>
      </c>
      <c r="E82" s="13" t="s">
        <v>411</v>
      </c>
      <c r="F82" s="15" t="s">
        <v>22</v>
      </c>
      <c r="G82" s="12" t="s">
        <v>38</v>
      </c>
      <c r="H82" s="91" t="s">
        <v>361</v>
      </c>
      <c r="I82" s="16" t="n">
        <v>1040</v>
      </c>
      <c r="J82" s="17" t="n">
        <v>1040</v>
      </c>
      <c r="K82" s="14" t="n">
        <v>36</v>
      </c>
      <c r="L82" s="18" t="n">
        <v>46090.25</v>
      </c>
      <c r="M82" s="19" t="s">
        <v>24</v>
      </c>
    </row>
    <row r="83" customFormat="false" ht="15.75" hidden="false" customHeight="true" outlineLevel="0" collapsed="false">
      <c r="A83" s="89" t="n">
        <v>79</v>
      </c>
      <c r="B83" s="98" t="s">
        <v>55</v>
      </c>
      <c r="C83" s="11" t="s">
        <v>204</v>
      </c>
      <c r="D83" s="12" t="s">
        <v>205</v>
      </c>
      <c r="E83" s="13" t="s">
        <v>412</v>
      </c>
      <c r="F83" s="15" t="s">
        <v>22</v>
      </c>
      <c r="G83" s="12" t="s">
        <v>38</v>
      </c>
      <c r="H83" s="91" t="s">
        <v>361</v>
      </c>
      <c r="I83" s="16" t="n">
        <v>1040.004</v>
      </c>
      <c r="J83" s="17" t="n">
        <v>1040</v>
      </c>
      <c r="K83" s="14" t="n">
        <v>41</v>
      </c>
      <c r="L83" s="18" t="n">
        <v>46093.25</v>
      </c>
      <c r="M83" s="19" t="s">
        <v>24</v>
      </c>
    </row>
    <row r="84" customFormat="false" ht="15.75" hidden="false" customHeight="true" outlineLevel="0" collapsed="false">
      <c r="A84" s="89" t="n">
        <v>80</v>
      </c>
      <c r="B84" s="98" t="s">
        <v>55</v>
      </c>
      <c r="C84" s="11" t="s">
        <v>210</v>
      </c>
      <c r="D84" s="12" t="s">
        <v>211</v>
      </c>
      <c r="E84" s="13" t="s">
        <v>385</v>
      </c>
      <c r="F84" s="15" t="s">
        <v>22</v>
      </c>
      <c r="G84" s="12" t="s">
        <v>38</v>
      </c>
      <c r="H84" s="91" t="s">
        <v>361</v>
      </c>
      <c r="I84" s="16" t="n">
        <v>650</v>
      </c>
      <c r="J84" s="17" t="n">
        <v>650</v>
      </c>
      <c r="K84" s="14" t="n">
        <v>43</v>
      </c>
      <c r="L84" s="18" t="n">
        <v>46077.4583333333</v>
      </c>
      <c r="M84" s="19" t="s">
        <v>24</v>
      </c>
    </row>
    <row r="85" customFormat="false" ht="15.75" hidden="false" customHeight="true" outlineLevel="0" collapsed="false">
      <c r="A85" s="89" t="n">
        <v>81</v>
      </c>
      <c r="B85" s="98" t="s">
        <v>55</v>
      </c>
      <c r="C85" s="11" t="s">
        <v>212</v>
      </c>
      <c r="D85" s="12" t="s">
        <v>213</v>
      </c>
      <c r="E85" s="13" t="s">
        <v>82</v>
      </c>
      <c r="F85" s="15" t="s">
        <v>22</v>
      </c>
      <c r="G85" s="12" t="s">
        <v>47</v>
      </c>
      <c r="H85" s="91" t="s">
        <v>361</v>
      </c>
      <c r="I85" s="16" t="n">
        <v>520.002</v>
      </c>
      <c r="J85" s="17" t="n">
        <v>520</v>
      </c>
      <c r="K85" s="14" t="n">
        <v>33</v>
      </c>
      <c r="L85" s="18" t="n">
        <v>46122.4583333333</v>
      </c>
      <c r="M85" s="19" t="s">
        <v>24</v>
      </c>
    </row>
    <row r="86" customFormat="false" ht="15.75" hidden="false" customHeight="true" outlineLevel="0" collapsed="false">
      <c r="A86" s="92" t="n">
        <v>82</v>
      </c>
      <c r="B86" s="100" t="s">
        <v>55</v>
      </c>
      <c r="C86" s="32" t="s">
        <v>214</v>
      </c>
      <c r="D86" s="33" t="s">
        <v>215</v>
      </c>
      <c r="E86" s="34" t="s">
        <v>413</v>
      </c>
      <c r="F86" s="36" t="s">
        <v>54</v>
      </c>
      <c r="G86" s="37"/>
      <c r="H86" s="94" t="s">
        <v>361</v>
      </c>
      <c r="I86" s="38" t="n">
        <v>9692</v>
      </c>
      <c r="J86" s="39" t="n">
        <v>9692</v>
      </c>
      <c r="K86" s="48" t="n">
        <v>12</v>
      </c>
      <c r="L86" s="40"/>
      <c r="M86" s="41" t="s">
        <v>24</v>
      </c>
    </row>
    <row r="87" customFormat="false" ht="15.75" hidden="false" customHeight="true" outlineLevel="0" collapsed="false">
      <c r="A87" s="95" t="n">
        <v>83</v>
      </c>
      <c r="B87" s="102" t="s">
        <v>55</v>
      </c>
      <c r="C87" s="49" t="s">
        <v>217</v>
      </c>
      <c r="D87" s="50" t="s">
        <v>218</v>
      </c>
      <c r="E87" s="51" t="s">
        <v>94</v>
      </c>
      <c r="F87" s="53" t="s">
        <v>219</v>
      </c>
      <c r="G87" s="54"/>
      <c r="H87" s="103" t="s">
        <v>361</v>
      </c>
      <c r="I87" s="55" t="n">
        <v>7976.342</v>
      </c>
      <c r="J87" s="56" t="n">
        <v>7976.34</v>
      </c>
      <c r="K87" s="52" t="n">
        <v>106</v>
      </c>
      <c r="L87" s="57" t="n">
        <v>46031.25</v>
      </c>
      <c r="M87" s="58" t="s">
        <v>24</v>
      </c>
    </row>
    <row r="88" customFormat="false" ht="15.75" hidden="false" customHeight="true" outlineLevel="0" collapsed="false">
      <c r="A88" s="95" t="n">
        <v>84</v>
      </c>
      <c r="B88" s="102" t="s">
        <v>55</v>
      </c>
      <c r="C88" s="49" t="s">
        <v>220</v>
      </c>
      <c r="D88" s="50" t="s">
        <v>221</v>
      </c>
      <c r="E88" s="51" t="s">
        <v>222</v>
      </c>
      <c r="F88" s="53" t="s">
        <v>219</v>
      </c>
      <c r="G88" s="50" t="s">
        <v>23</v>
      </c>
      <c r="H88" s="103" t="s">
        <v>361</v>
      </c>
      <c r="I88" s="55" t="n">
        <v>7796</v>
      </c>
      <c r="J88" s="56" t="n">
        <v>7796</v>
      </c>
      <c r="K88" s="52" t="n">
        <v>154</v>
      </c>
      <c r="L88" s="57" t="n">
        <v>46290.25</v>
      </c>
      <c r="M88" s="58" t="s">
        <v>24</v>
      </c>
    </row>
    <row r="89" customFormat="false" ht="15.75" hidden="false" customHeight="true" outlineLevel="0" collapsed="false">
      <c r="A89" s="95" t="n">
        <v>85</v>
      </c>
      <c r="B89" s="102" t="s">
        <v>55</v>
      </c>
      <c r="C89" s="49" t="s">
        <v>223</v>
      </c>
      <c r="D89" s="50" t="s">
        <v>224</v>
      </c>
      <c r="E89" s="51" t="s">
        <v>414</v>
      </c>
      <c r="F89" s="53" t="s">
        <v>219</v>
      </c>
      <c r="G89" s="54"/>
      <c r="H89" s="103" t="s">
        <v>361</v>
      </c>
      <c r="I89" s="55" t="n">
        <v>7105.15</v>
      </c>
      <c r="J89" s="56" t="n">
        <v>7105.15</v>
      </c>
      <c r="K89" s="52" t="n">
        <v>326</v>
      </c>
      <c r="L89" s="57" t="n">
        <v>46097.25</v>
      </c>
      <c r="M89" s="58" t="s">
        <v>24</v>
      </c>
    </row>
    <row r="90" customFormat="false" ht="15.75" hidden="false" customHeight="true" outlineLevel="0" collapsed="false">
      <c r="A90" s="89" t="n">
        <v>86</v>
      </c>
      <c r="B90" s="98" t="s">
        <v>55</v>
      </c>
      <c r="C90" s="11" t="s">
        <v>415</v>
      </c>
      <c r="D90" s="12" t="s">
        <v>416</v>
      </c>
      <c r="E90" s="13" t="s">
        <v>417</v>
      </c>
      <c r="F90" s="15" t="s">
        <v>22</v>
      </c>
      <c r="G90" s="104"/>
      <c r="H90" s="99" t="s">
        <v>370</v>
      </c>
      <c r="I90" s="16" t="n">
        <v>2217</v>
      </c>
      <c r="J90" s="17"/>
      <c r="K90" s="14" t="n">
        <v>35</v>
      </c>
      <c r="L90" s="18"/>
      <c r="M90" s="19" t="s">
        <v>24</v>
      </c>
    </row>
    <row r="91" customFormat="false" ht="15.75" hidden="false" customHeight="true" outlineLevel="0" collapsed="false">
      <c r="A91" s="89" t="n">
        <v>87</v>
      </c>
      <c r="B91" s="98" t="s">
        <v>55</v>
      </c>
      <c r="C91" s="11" t="s">
        <v>226</v>
      </c>
      <c r="D91" s="12" t="s">
        <v>227</v>
      </c>
      <c r="E91" s="13" t="s">
        <v>228</v>
      </c>
      <c r="F91" s="15" t="s">
        <v>22</v>
      </c>
      <c r="G91" s="12" t="s">
        <v>23</v>
      </c>
      <c r="H91" s="91" t="s">
        <v>361</v>
      </c>
      <c r="I91" s="16" t="n">
        <v>1660</v>
      </c>
      <c r="J91" s="17" t="n">
        <v>1660</v>
      </c>
      <c r="K91" s="47" t="n">
        <v>-1</v>
      </c>
      <c r="L91" s="18" t="n">
        <v>46121.2916666667</v>
      </c>
      <c r="M91" s="19" t="s">
        <v>24</v>
      </c>
    </row>
    <row r="92" customFormat="false" ht="15.75" hidden="false" customHeight="true" outlineLevel="0" collapsed="false">
      <c r="A92" s="89" t="n">
        <v>88</v>
      </c>
      <c r="B92" s="98" t="s">
        <v>55</v>
      </c>
      <c r="C92" s="11" t="s">
        <v>418</v>
      </c>
      <c r="D92" s="12" t="s">
        <v>84</v>
      </c>
      <c r="E92" s="13" t="s">
        <v>376</v>
      </c>
      <c r="F92" s="15" t="s">
        <v>22</v>
      </c>
      <c r="G92" s="12" t="s">
        <v>23</v>
      </c>
      <c r="H92" s="99" t="s">
        <v>370</v>
      </c>
      <c r="I92" s="16" t="n">
        <v>6340</v>
      </c>
      <c r="J92" s="17"/>
      <c r="K92" s="47" t="n">
        <v>18</v>
      </c>
      <c r="L92" s="18" t="n">
        <v>46104.2916666667</v>
      </c>
      <c r="M92" s="19" t="s">
        <v>24</v>
      </c>
    </row>
    <row r="93" customFormat="false" ht="15.75" hidden="false" customHeight="true" outlineLevel="0" collapsed="false">
      <c r="A93" s="89" t="n">
        <v>89</v>
      </c>
      <c r="B93" s="98" t="s">
        <v>55</v>
      </c>
      <c r="C93" s="11" t="s">
        <v>419</v>
      </c>
      <c r="D93" s="12" t="s">
        <v>84</v>
      </c>
      <c r="E93" s="13" t="s">
        <v>376</v>
      </c>
      <c r="F93" s="15" t="s">
        <v>22</v>
      </c>
      <c r="G93" s="12" t="s">
        <v>47</v>
      </c>
      <c r="H93" s="99" t="s">
        <v>370</v>
      </c>
      <c r="I93" s="16" t="n">
        <v>1320</v>
      </c>
      <c r="J93" s="17"/>
      <c r="K93" s="14" t="n">
        <v>54</v>
      </c>
      <c r="L93" s="18" t="n">
        <v>46065.375</v>
      </c>
      <c r="M93" s="19" t="s">
        <v>24</v>
      </c>
    </row>
    <row r="94" customFormat="false" ht="15.75" hidden="false" customHeight="true" outlineLevel="0" collapsed="false">
      <c r="A94" s="89" t="n">
        <v>90</v>
      </c>
      <c r="B94" s="98" t="s">
        <v>55</v>
      </c>
      <c r="C94" s="11" t="s">
        <v>229</v>
      </c>
      <c r="D94" s="12" t="s">
        <v>230</v>
      </c>
      <c r="E94" s="13" t="s">
        <v>360</v>
      </c>
      <c r="F94" s="15" t="s">
        <v>22</v>
      </c>
      <c r="G94" s="12" t="s">
        <v>23</v>
      </c>
      <c r="H94" s="91" t="s">
        <v>361</v>
      </c>
      <c r="I94" s="16" t="n">
        <v>1040.004</v>
      </c>
      <c r="J94" s="17" t="n">
        <v>1040</v>
      </c>
      <c r="K94" s="47" t="n">
        <v>14</v>
      </c>
      <c r="L94" s="18" t="n">
        <v>46126.25</v>
      </c>
      <c r="M94" s="19" t="s">
        <v>24</v>
      </c>
    </row>
    <row r="95" customFormat="false" ht="15.75" hidden="false" customHeight="true" outlineLevel="0" collapsed="false">
      <c r="A95" s="95" t="n">
        <v>91</v>
      </c>
      <c r="B95" s="102" t="s">
        <v>55</v>
      </c>
      <c r="C95" s="49" t="s">
        <v>231</v>
      </c>
      <c r="D95" s="50" t="s">
        <v>232</v>
      </c>
      <c r="E95" s="51" t="s">
        <v>410</v>
      </c>
      <c r="F95" s="53" t="s">
        <v>219</v>
      </c>
      <c r="G95" s="54"/>
      <c r="H95" s="103" t="s">
        <v>361</v>
      </c>
      <c r="I95" s="55" t="n">
        <v>5980</v>
      </c>
      <c r="J95" s="56" t="n">
        <v>5980</v>
      </c>
      <c r="K95" s="52" t="n">
        <v>322</v>
      </c>
      <c r="L95" s="57" t="n">
        <v>45833.28125</v>
      </c>
      <c r="M95" s="58" t="s">
        <v>24</v>
      </c>
    </row>
    <row r="96" customFormat="false" ht="15.75" hidden="false" customHeight="true" outlineLevel="0" collapsed="false">
      <c r="A96" s="95" t="n">
        <v>92</v>
      </c>
      <c r="B96" s="102" t="s">
        <v>55</v>
      </c>
      <c r="C96" s="49" t="s">
        <v>233</v>
      </c>
      <c r="D96" s="50" t="s">
        <v>234</v>
      </c>
      <c r="E96" s="51" t="s">
        <v>385</v>
      </c>
      <c r="F96" s="53" t="s">
        <v>219</v>
      </c>
      <c r="G96" s="54"/>
      <c r="H96" s="103" t="s">
        <v>361</v>
      </c>
      <c r="I96" s="55" t="n">
        <v>5786.554</v>
      </c>
      <c r="J96" s="56" t="n">
        <v>5786.55</v>
      </c>
      <c r="K96" s="52" t="n">
        <v>125</v>
      </c>
      <c r="L96" s="57" t="n">
        <v>46001.4166666667</v>
      </c>
      <c r="M96" s="58" t="s">
        <v>24</v>
      </c>
    </row>
    <row r="97" customFormat="false" ht="15.75" hidden="false" customHeight="true" outlineLevel="0" collapsed="false">
      <c r="A97" s="92" t="n">
        <v>93</v>
      </c>
      <c r="B97" s="100" t="s">
        <v>55</v>
      </c>
      <c r="C97" s="32" t="s">
        <v>235</v>
      </c>
      <c r="D97" s="33" t="s">
        <v>236</v>
      </c>
      <c r="E97" s="34" t="s">
        <v>420</v>
      </c>
      <c r="F97" s="36" t="s">
        <v>54</v>
      </c>
      <c r="G97" s="37"/>
      <c r="H97" s="94" t="s">
        <v>361</v>
      </c>
      <c r="I97" s="38" t="n">
        <v>650.0025</v>
      </c>
      <c r="J97" s="39" t="n">
        <v>650</v>
      </c>
      <c r="K97" s="35" t="n">
        <v>82</v>
      </c>
      <c r="L97" s="40"/>
      <c r="M97" s="41" t="s">
        <v>24</v>
      </c>
    </row>
    <row r="98" customFormat="false" ht="15.75" hidden="false" customHeight="true" outlineLevel="0" collapsed="false">
      <c r="A98" s="89" t="n">
        <v>94</v>
      </c>
      <c r="B98" s="98" t="s">
        <v>55</v>
      </c>
      <c r="C98" s="11" t="s">
        <v>421</v>
      </c>
      <c r="D98" s="12" t="s">
        <v>20</v>
      </c>
      <c r="E98" s="13" t="s">
        <v>360</v>
      </c>
      <c r="F98" s="15" t="s">
        <v>22</v>
      </c>
      <c r="G98" s="12" t="s">
        <v>38</v>
      </c>
      <c r="H98" s="99" t="s">
        <v>370</v>
      </c>
      <c r="I98" s="16" t="n">
        <v>580</v>
      </c>
      <c r="J98" s="17"/>
      <c r="K98" s="14" t="n">
        <v>63</v>
      </c>
      <c r="L98" s="18" t="n">
        <v>46056.6458333333</v>
      </c>
      <c r="M98" s="19" t="s">
        <v>24</v>
      </c>
    </row>
    <row r="99" customFormat="false" ht="15.75" hidden="false" customHeight="true" outlineLevel="0" collapsed="false">
      <c r="A99" s="89" t="n">
        <v>95</v>
      </c>
      <c r="B99" s="98" t="s">
        <v>55</v>
      </c>
      <c r="C99" s="11" t="s">
        <v>238</v>
      </c>
      <c r="D99" s="12" t="s">
        <v>239</v>
      </c>
      <c r="E99" s="13" t="s">
        <v>422</v>
      </c>
      <c r="F99" s="15" t="s">
        <v>22</v>
      </c>
      <c r="G99" s="12" t="s">
        <v>23</v>
      </c>
      <c r="H99" s="91" t="s">
        <v>361</v>
      </c>
      <c r="I99" s="16" t="n">
        <v>590</v>
      </c>
      <c r="J99" s="17" t="n">
        <v>590</v>
      </c>
      <c r="K99" s="47" t="n">
        <v>13</v>
      </c>
      <c r="L99" s="18" t="n">
        <v>46106.4791666667</v>
      </c>
      <c r="M99" s="19" t="s">
        <v>24</v>
      </c>
    </row>
    <row r="100" customFormat="false" ht="15.75" hidden="false" customHeight="true" outlineLevel="0" collapsed="false">
      <c r="A100" s="89" t="n">
        <v>96</v>
      </c>
      <c r="B100" s="98" t="s">
        <v>55</v>
      </c>
      <c r="C100" s="11" t="s">
        <v>423</v>
      </c>
      <c r="D100" s="12" t="s">
        <v>424</v>
      </c>
      <c r="E100" s="13" t="s">
        <v>385</v>
      </c>
      <c r="F100" s="15" t="s">
        <v>22</v>
      </c>
      <c r="G100" s="12" t="s">
        <v>47</v>
      </c>
      <c r="H100" s="99" t="s">
        <v>370</v>
      </c>
      <c r="I100" s="16" t="n">
        <v>460</v>
      </c>
      <c r="J100" s="17"/>
      <c r="K100" s="14" t="n">
        <v>39</v>
      </c>
      <c r="L100" s="18" t="n">
        <v>46083.5277777778</v>
      </c>
      <c r="M100" s="19" t="s">
        <v>24</v>
      </c>
    </row>
    <row r="101" customFormat="false" ht="15.75" hidden="false" customHeight="true" outlineLevel="0" collapsed="false">
      <c r="A101" s="89" t="n">
        <v>97</v>
      </c>
      <c r="B101" s="98" t="s">
        <v>55</v>
      </c>
      <c r="C101" s="11" t="s">
        <v>425</v>
      </c>
      <c r="D101" s="12" t="s">
        <v>424</v>
      </c>
      <c r="E101" s="13" t="s">
        <v>385</v>
      </c>
      <c r="F101" s="15" t="s">
        <v>22</v>
      </c>
      <c r="G101" s="12" t="s">
        <v>47</v>
      </c>
      <c r="H101" s="99" t="s">
        <v>370</v>
      </c>
      <c r="I101" s="16" t="n">
        <v>460</v>
      </c>
      <c r="J101" s="17"/>
      <c r="K101" s="14" t="n">
        <v>43</v>
      </c>
      <c r="L101" s="18" t="n">
        <v>46080.5833333333</v>
      </c>
      <c r="M101" s="19" t="s">
        <v>24</v>
      </c>
    </row>
    <row r="102" customFormat="false" ht="15.75" hidden="false" customHeight="true" outlineLevel="0" collapsed="false">
      <c r="A102" s="89" t="n">
        <v>98</v>
      </c>
      <c r="B102" s="98" t="s">
        <v>55</v>
      </c>
      <c r="C102" s="11" t="s">
        <v>426</v>
      </c>
      <c r="D102" s="12" t="s">
        <v>427</v>
      </c>
      <c r="E102" s="13" t="s">
        <v>428</v>
      </c>
      <c r="F102" s="15" t="s">
        <v>22</v>
      </c>
      <c r="G102" s="12" t="s">
        <v>47</v>
      </c>
      <c r="H102" s="99" t="s">
        <v>370</v>
      </c>
      <c r="I102" s="16" t="n">
        <v>460</v>
      </c>
      <c r="J102" s="17"/>
      <c r="K102" s="14" t="n">
        <v>43</v>
      </c>
      <c r="L102" s="18" t="n">
        <v>46076.5</v>
      </c>
      <c r="M102" s="19" t="s">
        <v>24</v>
      </c>
    </row>
    <row r="103" customFormat="false" ht="15.75" hidden="false" customHeight="true" outlineLevel="0" collapsed="false">
      <c r="A103" s="89" t="n">
        <v>99</v>
      </c>
      <c r="B103" s="98" t="s">
        <v>55</v>
      </c>
      <c r="C103" s="11" t="s">
        <v>429</v>
      </c>
      <c r="D103" s="12" t="s">
        <v>430</v>
      </c>
      <c r="E103" s="13" t="s">
        <v>431</v>
      </c>
      <c r="F103" s="15" t="s">
        <v>22</v>
      </c>
      <c r="G103" s="12" t="s">
        <v>23</v>
      </c>
      <c r="H103" s="99" t="s">
        <v>370</v>
      </c>
      <c r="I103" s="16" t="n">
        <v>460</v>
      </c>
      <c r="J103" s="17"/>
      <c r="K103" s="14" t="n">
        <v>35</v>
      </c>
      <c r="L103" s="18" t="n">
        <v>46084.5833333333</v>
      </c>
      <c r="M103" s="19" t="s">
        <v>24</v>
      </c>
    </row>
    <row r="104" customFormat="false" ht="15.75" hidden="false" customHeight="true" outlineLevel="0" collapsed="false">
      <c r="A104" s="89" t="n">
        <v>100</v>
      </c>
      <c r="B104" s="98" t="s">
        <v>55</v>
      </c>
      <c r="C104" s="11" t="s">
        <v>432</v>
      </c>
      <c r="D104" s="12" t="s">
        <v>433</v>
      </c>
      <c r="E104" s="13" t="s">
        <v>434</v>
      </c>
      <c r="F104" s="15" t="s">
        <v>22</v>
      </c>
      <c r="G104" s="12" t="s">
        <v>47</v>
      </c>
      <c r="H104" s="99" t="s">
        <v>370</v>
      </c>
      <c r="I104" s="16" t="n">
        <v>460</v>
      </c>
      <c r="J104" s="17"/>
      <c r="K104" s="14" t="n">
        <v>55</v>
      </c>
      <c r="L104" s="18" t="n">
        <v>46072.4305555556</v>
      </c>
      <c r="M104" s="19" t="s">
        <v>24</v>
      </c>
    </row>
    <row r="105" customFormat="false" ht="15.75" hidden="false" customHeight="true" outlineLevel="0" collapsed="false">
      <c r="A105" s="89" t="n">
        <v>101</v>
      </c>
      <c r="B105" s="98" t="s">
        <v>55</v>
      </c>
      <c r="C105" s="11" t="s">
        <v>435</v>
      </c>
      <c r="D105" s="12" t="s">
        <v>436</v>
      </c>
      <c r="E105" s="13" t="s">
        <v>437</v>
      </c>
      <c r="F105" s="15" t="s">
        <v>22</v>
      </c>
      <c r="G105" s="12" t="s">
        <v>47</v>
      </c>
      <c r="H105" s="99" t="s">
        <v>370</v>
      </c>
      <c r="I105" s="16" t="n">
        <v>460</v>
      </c>
      <c r="J105" s="17"/>
      <c r="K105" s="14" t="n">
        <v>43</v>
      </c>
      <c r="L105" s="18" t="n">
        <v>46076.25</v>
      </c>
      <c r="M105" s="19" t="s">
        <v>24</v>
      </c>
    </row>
    <row r="106" customFormat="false" ht="15.75" hidden="false" customHeight="true" outlineLevel="0" collapsed="false">
      <c r="A106" s="89" t="n">
        <v>102</v>
      </c>
      <c r="B106" s="98" t="s">
        <v>55</v>
      </c>
      <c r="C106" s="11" t="s">
        <v>241</v>
      </c>
      <c r="D106" s="12" t="s">
        <v>239</v>
      </c>
      <c r="E106" s="13" t="s">
        <v>422</v>
      </c>
      <c r="F106" s="15" t="s">
        <v>22</v>
      </c>
      <c r="G106" s="12" t="s">
        <v>23</v>
      </c>
      <c r="H106" s="91" t="s">
        <v>361</v>
      </c>
      <c r="I106" s="16" t="n">
        <v>520</v>
      </c>
      <c r="J106" s="17" t="n">
        <v>520</v>
      </c>
      <c r="K106" s="47" t="n">
        <v>13</v>
      </c>
      <c r="L106" s="18" t="n">
        <v>46106.3125</v>
      </c>
      <c r="M106" s="19" t="s">
        <v>24</v>
      </c>
    </row>
    <row r="107" customFormat="false" ht="15.75" hidden="false" customHeight="true" outlineLevel="0" collapsed="false">
      <c r="A107" s="89" t="n">
        <v>103</v>
      </c>
      <c r="B107" s="98" t="s">
        <v>55</v>
      </c>
      <c r="C107" s="11" t="s">
        <v>438</v>
      </c>
      <c r="D107" s="12" t="s">
        <v>439</v>
      </c>
      <c r="E107" s="13" t="s">
        <v>385</v>
      </c>
      <c r="F107" s="15" t="s">
        <v>22</v>
      </c>
      <c r="G107" s="12" t="s">
        <v>38</v>
      </c>
      <c r="H107" s="99" t="s">
        <v>370</v>
      </c>
      <c r="I107" s="16" t="n">
        <v>460</v>
      </c>
      <c r="J107" s="17"/>
      <c r="K107" s="14" t="n">
        <v>39</v>
      </c>
      <c r="L107" s="18" t="n">
        <v>46080.4166666667</v>
      </c>
      <c r="M107" s="19" t="s">
        <v>24</v>
      </c>
    </row>
    <row r="108" customFormat="false" ht="15.75" hidden="false" customHeight="true" outlineLevel="0" collapsed="false">
      <c r="A108" s="89" t="n">
        <v>104</v>
      </c>
      <c r="B108" s="98" t="s">
        <v>55</v>
      </c>
      <c r="C108" s="11" t="s">
        <v>440</v>
      </c>
      <c r="D108" s="12" t="s">
        <v>395</v>
      </c>
      <c r="E108" s="13" t="s">
        <v>396</v>
      </c>
      <c r="F108" s="15" t="s">
        <v>22</v>
      </c>
      <c r="G108" s="12" t="s">
        <v>47</v>
      </c>
      <c r="H108" s="99" t="s">
        <v>370</v>
      </c>
      <c r="I108" s="16" t="n">
        <v>460</v>
      </c>
      <c r="J108" s="17"/>
      <c r="K108" s="14" t="n">
        <v>53</v>
      </c>
      <c r="L108" s="18" t="n">
        <v>46073.4166666667</v>
      </c>
      <c r="M108" s="19" t="s">
        <v>24</v>
      </c>
    </row>
    <row r="109" customFormat="false" ht="15.75" hidden="false" customHeight="true" outlineLevel="0" collapsed="false">
      <c r="A109" s="89" t="n">
        <v>105</v>
      </c>
      <c r="B109" s="98" t="s">
        <v>55</v>
      </c>
      <c r="C109" s="11" t="s">
        <v>441</v>
      </c>
      <c r="D109" s="12" t="s">
        <v>115</v>
      </c>
      <c r="E109" s="13" t="s">
        <v>442</v>
      </c>
      <c r="F109" s="15" t="s">
        <v>22</v>
      </c>
      <c r="G109" s="12" t="s">
        <v>47</v>
      </c>
      <c r="H109" s="99" t="s">
        <v>370</v>
      </c>
      <c r="I109" s="16" t="n">
        <v>0</v>
      </c>
      <c r="J109" s="17"/>
      <c r="K109" s="14" t="n">
        <v>63</v>
      </c>
      <c r="L109" s="18" t="n">
        <v>46073.2673611111</v>
      </c>
      <c r="M109" s="19" t="s">
        <v>24</v>
      </c>
    </row>
    <row r="110" customFormat="false" ht="15.75" hidden="false" customHeight="true" outlineLevel="0" collapsed="false">
      <c r="A110" s="89" t="n">
        <v>106</v>
      </c>
      <c r="B110" s="98" t="s">
        <v>55</v>
      </c>
      <c r="C110" s="11" t="s">
        <v>443</v>
      </c>
      <c r="D110" s="12" t="s">
        <v>444</v>
      </c>
      <c r="E110" s="13" t="s">
        <v>385</v>
      </c>
      <c r="F110" s="15" t="s">
        <v>22</v>
      </c>
      <c r="G110" s="12" t="s">
        <v>47</v>
      </c>
      <c r="H110" s="99" t="s">
        <v>370</v>
      </c>
      <c r="I110" s="16" t="n">
        <v>0</v>
      </c>
      <c r="J110" s="17"/>
      <c r="K110" s="14" t="n">
        <v>35</v>
      </c>
      <c r="L110" s="18" t="n">
        <v>46085.2916666667</v>
      </c>
      <c r="M110" s="19" t="s">
        <v>24</v>
      </c>
    </row>
    <row r="111" customFormat="false" ht="15.75" hidden="false" customHeight="true" outlineLevel="0" collapsed="false">
      <c r="A111" s="92" t="n">
        <v>107</v>
      </c>
      <c r="B111" s="100" t="s">
        <v>55</v>
      </c>
      <c r="C111" s="32" t="s">
        <v>242</v>
      </c>
      <c r="D111" s="33" t="s">
        <v>243</v>
      </c>
      <c r="E111" s="34" t="s">
        <v>385</v>
      </c>
      <c r="F111" s="36" t="s">
        <v>54</v>
      </c>
      <c r="G111" s="37"/>
      <c r="H111" s="94" t="s">
        <v>361</v>
      </c>
      <c r="I111" s="38" t="n">
        <v>4972</v>
      </c>
      <c r="J111" s="39" t="n">
        <v>4972</v>
      </c>
      <c r="K111" s="48" t="n">
        <v>-1</v>
      </c>
      <c r="L111" s="40"/>
      <c r="M111" s="41" t="s">
        <v>24</v>
      </c>
    </row>
    <row r="112" customFormat="false" ht="15.75" hidden="false" customHeight="true" outlineLevel="0" collapsed="false">
      <c r="A112" s="89" t="n">
        <v>108</v>
      </c>
      <c r="B112" s="98" t="s">
        <v>55</v>
      </c>
      <c r="C112" s="11" t="s">
        <v>445</v>
      </c>
      <c r="D112" s="12" t="s">
        <v>115</v>
      </c>
      <c r="E112" s="13" t="s">
        <v>116</v>
      </c>
      <c r="F112" s="15" t="s">
        <v>22</v>
      </c>
      <c r="G112" s="12" t="s">
        <v>47</v>
      </c>
      <c r="H112" s="99" t="s">
        <v>370</v>
      </c>
      <c r="I112" s="16" t="n">
        <v>0</v>
      </c>
      <c r="J112" s="17"/>
      <c r="K112" s="14" t="n">
        <v>83</v>
      </c>
      <c r="L112" s="18" t="n">
        <v>46078.4166666667</v>
      </c>
      <c r="M112" s="19" t="s">
        <v>24</v>
      </c>
    </row>
    <row r="113" customFormat="false" ht="15.75" hidden="false" customHeight="true" outlineLevel="0" collapsed="false">
      <c r="A113" s="92" t="n">
        <v>109</v>
      </c>
      <c r="B113" s="105" t="s">
        <v>244</v>
      </c>
      <c r="C113" s="32" t="s">
        <v>245</v>
      </c>
      <c r="D113" s="33" t="s">
        <v>239</v>
      </c>
      <c r="E113" s="34" t="s">
        <v>422</v>
      </c>
      <c r="F113" s="36" t="s">
        <v>54</v>
      </c>
      <c r="G113" s="37"/>
      <c r="H113" s="94" t="s">
        <v>361</v>
      </c>
      <c r="I113" s="38" t="n">
        <v>4575.2</v>
      </c>
      <c r="J113" s="39" t="n">
        <v>4575.2</v>
      </c>
      <c r="K113" s="48" t="n">
        <v>-1</v>
      </c>
      <c r="L113" s="40"/>
      <c r="M113" s="41" t="s">
        <v>24</v>
      </c>
    </row>
    <row r="114" customFormat="false" ht="15.75" hidden="false" customHeight="true" outlineLevel="0" collapsed="false">
      <c r="A114" s="95" t="n">
        <v>110</v>
      </c>
      <c r="B114" s="106" t="s">
        <v>244</v>
      </c>
      <c r="C114" s="49" t="s">
        <v>246</v>
      </c>
      <c r="D114" s="50" t="s">
        <v>247</v>
      </c>
      <c r="E114" s="51" t="s">
        <v>446</v>
      </c>
      <c r="F114" s="53" t="s">
        <v>219</v>
      </c>
      <c r="G114" s="50" t="s">
        <v>47</v>
      </c>
      <c r="H114" s="103" t="s">
        <v>361</v>
      </c>
      <c r="I114" s="55" t="n">
        <v>4195.004</v>
      </c>
      <c r="J114" s="56" t="n">
        <v>4195</v>
      </c>
      <c r="K114" s="52" t="n">
        <v>364</v>
      </c>
      <c r="L114" s="57" t="n">
        <v>45919.375</v>
      </c>
      <c r="M114" s="58" t="s">
        <v>24</v>
      </c>
    </row>
    <row r="115" customFormat="false" ht="15.75" hidden="false" customHeight="true" outlineLevel="0" collapsed="false">
      <c r="A115" s="92" t="n">
        <v>111</v>
      </c>
      <c r="B115" s="105" t="s">
        <v>244</v>
      </c>
      <c r="C115" s="32" t="s">
        <v>249</v>
      </c>
      <c r="D115" s="33" t="s">
        <v>250</v>
      </c>
      <c r="E115" s="34" t="s">
        <v>385</v>
      </c>
      <c r="F115" s="36" t="s">
        <v>54</v>
      </c>
      <c r="G115" s="37"/>
      <c r="H115" s="94" t="s">
        <v>361</v>
      </c>
      <c r="I115" s="38" t="n">
        <v>3900</v>
      </c>
      <c r="J115" s="39" t="n">
        <v>3900</v>
      </c>
      <c r="K115" s="48" t="n">
        <v>14</v>
      </c>
      <c r="L115" s="40"/>
      <c r="M115" s="41" t="s">
        <v>24</v>
      </c>
    </row>
    <row r="116" customFormat="false" ht="15.75" hidden="false" customHeight="true" outlineLevel="0" collapsed="false">
      <c r="A116" s="92" t="n">
        <v>112</v>
      </c>
      <c r="B116" s="105" t="s">
        <v>244</v>
      </c>
      <c r="C116" s="32" t="s">
        <v>251</v>
      </c>
      <c r="D116" s="33" t="s">
        <v>252</v>
      </c>
      <c r="E116" s="34" t="s">
        <v>253</v>
      </c>
      <c r="F116" s="36" t="s">
        <v>54</v>
      </c>
      <c r="G116" s="37"/>
      <c r="H116" s="94" t="s">
        <v>361</v>
      </c>
      <c r="I116" s="38" t="n">
        <v>3700.006</v>
      </c>
      <c r="J116" s="39" t="n">
        <v>3700.01</v>
      </c>
      <c r="K116" s="48" t="n">
        <v>21</v>
      </c>
      <c r="L116" s="40"/>
      <c r="M116" s="41" t="s">
        <v>24</v>
      </c>
    </row>
    <row r="117" customFormat="false" ht="15.75" hidden="false" customHeight="true" outlineLevel="0" collapsed="false">
      <c r="A117" s="92" t="n">
        <v>113</v>
      </c>
      <c r="B117" s="105" t="s">
        <v>244</v>
      </c>
      <c r="C117" s="32" t="s">
        <v>254</v>
      </c>
      <c r="D117" s="33" t="s">
        <v>103</v>
      </c>
      <c r="E117" s="34" t="s">
        <v>379</v>
      </c>
      <c r="F117" s="36" t="s">
        <v>54</v>
      </c>
      <c r="G117" s="37"/>
      <c r="H117" s="94" t="s">
        <v>361</v>
      </c>
      <c r="I117" s="38" t="n">
        <v>3585.008</v>
      </c>
      <c r="J117" s="39" t="n">
        <v>3585.01</v>
      </c>
      <c r="K117" s="48" t="n">
        <v>5</v>
      </c>
      <c r="L117" s="40"/>
      <c r="M117" s="41" t="s">
        <v>24</v>
      </c>
    </row>
    <row r="118" customFormat="false" ht="15.75" hidden="false" customHeight="true" outlineLevel="0" collapsed="false">
      <c r="A118" s="95" t="n">
        <v>114</v>
      </c>
      <c r="B118" s="106" t="s">
        <v>244</v>
      </c>
      <c r="C118" s="49" t="s">
        <v>255</v>
      </c>
      <c r="D118" s="50" t="s">
        <v>256</v>
      </c>
      <c r="E118" s="51" t="s">
        <v>385</v>
      </c>
      <c r="F118" s="53" t="s">
        <v>219</v>
      </c>
      <c r="G118" s="50" t="s">
        <v>23</v>
      </c>
      <c r="H118" s="103" t="s">
        <v>361</v>
      </c>
      <c r="I118" s="55" t="n">
        <v>3555.9162</v>
      </c>
      <c r="J118" s="56" t="n">
        <v>3555.91</v>
      </c>
      <c r="K118" s="52" t="n">
        <v>99</v>
      </c>
      <c r="L118" s="57" t="n">
        <v>46043.4166666667</v>
      </c>
      <c r="M118" s="58" t="s">
        <v>24</v>
      </c>
    </row>
    <row r="119" customFormat="false" ht="15.75" hidden="false" customHeight="true" outlineLevel="0" collapsed="false">
      <c r="A119" s="95" t="n">
        <v>115</v>
      </c>
      <c r="B119" s="106" t="s">
        <v>244</v>
      </c>
      <c r="C119" s="49" t="s">
        <v>257</v>
      </c>
      <c r="D119" s="50" t="s">
        <v>258</v>
      </c>
      <c r="E119" s="51" t="s">
        <v>431</v>
      </c>
      <c r="F119" s="53" t="s">
        <v>219</v>
      </c>
      <c r="G119" s="54"/>
      <c r="H119" s="103" t="s">
        <v>361</v>
      </c>
      <c r="I119" s="55" t="n">
        <v>3000</v>
      </c>
      <c r="J119" s="56" t="n">
        <v>3000</v>
      </c>
      <c r="K119" s="52" t="n">
        <v>495</v>
      </c>
      <c r="L119" s="57" t="n">
        <v>45835.2916666667</v>
      </c>
      <c r="M119" s="58" t="s">
        <v>24</v>
      </c>
    </row>
    <row r="120" customFormat="false" ht="15.75" hidden="false" customHeight="true" outlineLevel="0" collapsed="false">
      <c r="A120" s="95" t="n">
        <v>116</v>
      </c>
      <c r="B120" s="106" t="s">
        <v>244</v>
      </c>
      <c r="C120" s="49" t="s">
        <v>260</v>
      </c>
      <c r="D120" s="50" t="s">
        <v>133</v>
      </c>
      <c r="E120" s="51" t="s">
        <v>134</v>
      </c>
      <c r="F120" s="53" t="s">
        <v>219</v>
      </c>
      <c r="G120" s="50" t="s">
        <v>99</v>
      </c>
      <c r="H120" s="103" t="s">
        <v>361</v>
      </c>
      <c r="I120" s="55" t="n">
        <v>2554.432</v>
      </c>
      <c r="J120" s="56" t="n">
        <v>2554.43</v>
      </c>
      <c r="K120" s="52" t="n">
        <v>147</v>
      </c>
      <c r="L120" s="57" t="n">
        <v>45988.5</v>
      </c>
      <c r="M120" s="58" t="s">
        <v>24</v>
      </c>
    </row>
    <row r="121" customFormat="false" ht="15.75" hidden="false" customHeight="true" outlineLevel="0" collapsed="false">
      <c r="A121" s="92" t="n">
        <v>117</v>
      </c>
      <c r="B121" s="105" t="s">
        <v>244</v>
      </c>
      <c r="C121" s="32" t="s">
        <v>261</v>
      </c>
      <c r="D121" s="33" t="s">
        <v>127</v>
      </c>
      <c r="E121" s="34" t="s">
        <v>385</v>
      </c>
      <c r="F121" s="36" t="s">
        <v>54</v>
      </c>
      <c r="G121" s="37"/>
      <c r="H121" s="94" t="s">
        <v>361</v>
      </c>
      <c r="I121" s="38" t="n">
        <v>2390</v>
      </c>
      <c r="J121" s="39" t="n">
        <v>2390</v>
      </c>
      <c r="K121" s="48" t="n">
        <v>-1</v>
      </c>
      <c r="L121" s="40"/>
      <c r="M121" s="41" t="s">
        <v>24</v>
      </c>
    </row>
    <row r="122" customFormat="false" ht="15.75" hidden="false" customHeight="true" outlineLevel="0" collapsed="false">
      <c r="A122" s="95" t="n">
        <v>118</v>
      </c>
      <c r="B122" s="106" t="s">
        <v>244</v>
      </c>
      <c r="C122" s="49" t="s">
        <v>265</v>
      </c>
      <c r="D122" s="50" t="s">
        <v>266</v>
      </c>
      <c r="E122" s="51" t="s">
        <v>267</v>
      </c>
      <c r="F122" s="53" t="s">
        <v>219</v>
      </c>
      <c r="G122" s="54"/>
      <c r="H122" s="103" t="s">
        <v>361</v>
      </c>
      <c r="I122" s="55" t="n">
        <v>2335.608</v>
      </c>
      <c r="J122" s="56" t="n">
        <v>2335.61</v>
      </c>
      <c r="K122" s="52" t="n">
        <v>138</v>
      </c>
      <c r="L122" s="57" t="n">
        <v>45999.25</v>
      </c>
      <c r="M122" s="58" t="s">
        <v>24</v>
      </c>
    </row>
    <row r="123" customFormat="false" ht="15.75" hidden="false" customHeight="true" outlineLevel="0" collapsed="false">
      <c r="A123" s="92" t="n">
        <v>119</v>
      </c>
      <c r="B123" s="105" t="s">
        <v>244</v>
      </c>
      <c r="C123" s="32" t="s">
        <v>262</v>
      </c>
      <c r="D123" s="33" t="s">
        <v>263</v>
      </c>
      <c r="E123" s="34" t="s">
        <v>264</v>
      </c>
      <c r="F123" s="36" t="s">
        <v>54</v>
      </c>
      <c r="G123" s="37"/>
      <c r="H123" s="94" t="s">
        <v>361</v>
      </c>
      <c r="I123" s="38" t="n">
        <v>2380.003</v>
      </c>
      <c r="J123" s="39" t="n">
        <v>2380</v>
      </c>
      <c r="K123" s="48" t="n">
        <v>0</v>
      </c>
      <c r="L123" s="40"/>
      <c r="M123" s="62" t="s">
        <v>66</v>
      </c>
    </row>
    <row r="124" customFormat="false" ht="15.75" hidden="false" customHeight="true" outlineLevel="0" collapsed="false">
      <c r="A124" s="95" t="n">
        <v>120</v>
      </c>
      <c r="B124" s="106" t="s">
        <v>244</v>
      </c>
      <c r="C124" s="49" t="s">
        <v>268</v>
      </c>
      <c r="D124" s="50" t="s">
        <v>20</v>
      </c>
      <c r="E124" s="51" t="s">
        <v>375</v>
      </c>
      <c r="F124" s="53" t="s">
        <v>219</v>
      </c>
      <c r="G124" s="54"/>
      <c r="H124" s="103" t="s">
        <v>361</v>
      </c>
      <c r="I124" s="55" t="n">
        <v>2267.884</v>
      </c>
      <c r="J124" s="56" t="n">
        <v>2267.88</v>
      </c>
      <c r="K124" s="52" t="n">
        <v>204</v>
      </c>
      <c r="L124" s="57" t="n">
        <v>45925.2916666667</v>
      </c>
      <c r="M124" s="58" t="s">
        <v>24</v>
      </c>
    </row>
    <row r="125" customFormat="false" ht="15.75" hidden="false" customHeight="true" outlineLevel="0" collapsed="false">
      <c r="A125" s="107" t="n">
        <v>121</v>
      </c>
      <c r="B125" s="108" t="s">
        <v>244</v>
      </c>
      <c r="C125" s="63" t="s">
        <v>269</v>
      </c>
      <c r="D125" s="64" t="s">
        <v>270</v>
      </c>
      <c r="E125" s="65" t="s">
        <v>113</v>
      </c>
      <c r="F125" s="67" t="s">
        <v>271</v>
      </c>
      <c r="G125" s="64" t="s">
        <v>47</v>
      </c>
      <c r="H125" s="109" t="s">
        <v>361</v>
      </c>
      <c r="I125" s="68" t="n">
        <v>1740</v>
      </c>
      <c r="J125" s="69" t="n">
        <v>1160</v>
      </c>
      <c r="K125" s="66" t="n">
        <v>35</v>
      </c>
      <c r="L125" s="70" t="n">
        <v>46102.3333333333</v>
      </c>
      <c r="M125" s="71" t="s">
        <v>24</v>
      </c>
    </row>
    <row r="126" customFormat="false" ht="15.75" hidden="false" customHeight="true" outlineLevel="0" collapsed="false">
      <c r="A126" s="95" t="n">
        <v>122</v>
      </c>
      <c r="B126" s="106" t="s">
        <v>244</v>
      </c>
      <c r="C126" s="49" t="s">
        <v>275</v>
      </c>
      <c r="D126" s="50" t="s">
        <v>276</v>
      </c>
      <c r="E126" s="51" t="s">
        <v>447</v>
      </c>
      <c r="F126" s="53" t="s">
        <v>219</v>
      </c>
      <c r="G126" s="54"/>
      <c r="H126" s="103" t="s">
        <v>361</v>
      </c>
      <c r="I126" s="55" t="n">
        <v>1560</v>
      </c>
      <c r="J126" s="56" t="n">
        <v>1560</v>
      </c>
      <c r="K126" s="52" t="n">
        <v>200</v>
      </c>
      <c r="L126" s="57" t="n">
        <v>45944.5833333333</v>
      </c>
      <c r="M126" s="58" t="s">
        <v>24</v>
      </c>
    </row>
    <row r="127" customFormat="false" ht="15.75" hidden="false" customHeight="true" outlineLevel="0" collapsed="false">
      <c r="A127" s="95" t="n">
        <v>123</v>
      </c>
      <c r="B127" s="106" t="s">
        <v>244</v>
      </c>
      <c r="C127" s="49" t="s">
        <v>272</v>
      </c>
      <c r="D127" s="50" t="s">
        <v>273</v>
      </c>
      <c r="E127" s="51" t="s">
        <v>448</v>
      </c>
      <c r="F127" s="53" t="s">
        <v>219</v>
      </c>
      <c r="G127" s="50" t="s">
        <v>23</v>
      </c>
      <c r="H127" s="103" t="s">
        <v>361</v>
      </c>
      <c r="I127" s="55" t="n">
        <v>1630</v>
      </c>
      <c r="J127" s="56" t="n">
        <v>1630</v>
      </c>
      <c r="K127" s="52" t="n">
        <v>257</v>
      </c>
      <c r="L127" s="57" t="n">
        <v>45985.375</v>
      </c>
      <c r="M127" s="58" t="s">
        <v>24</v>
      </c>
    </row>
    <row r="128" customFormat="false" ht="15.75" hidden="false" customHeight="true" outlineLevel="0" collapsed="false">
      <c r="A128" s="92" t="n">
        <v>124</v>
      </c>
      <c r="B128" s="105" t="s">
        <v>244</v>
      </c>
      <c r="C128" s="32" t="s">
        <v>279</v>
      </c>
      <c r="D128" s="33" t="s">
        <v>239</v>
      </c>
      <c r="E128" s="34" t="s">
        <v>422</v>
      </c>
      <c r="F128" s="36" t="s">
        <v>54</v>
      </c>
      <c r="G128" s="37"/>
      <c r="H128" s="94" t="s">
        <v>361</v>
      </c>
      <c r="I128" s="38" t="n">
        <v>1027</v>
      </c>
      <c r="J128" s="39" t="n">
        <v>1027</v>
      </c>
      <c r="K128" s="48" t="n">
        <v>12</v>
      </c>
      <c r="L128" s="40"/>
      <c r="M128" s="41" t="s">
        <v>24</v>
      </c>
    </row>
    <row r="129" customFormat="false" ht="15.75" hidden="false" customHeight="true" outlineLevel="0" collapsed="false">
      <c r="A129" s="92" t="n">
        <v>125</v>
      </c>
      <c r="B129" s="105" t="s">
        <v>244</v>
      </c>
      <c r="C129" s="32" t="s">
        <v>278</v>
      </c>
      <c r="D129" s="33" t="s">
        <v>239</v>
      </c>
      <c r="E129" s="34" t="s">
        <v>422</v>
      </c>
      <c r="F129" s="36" t="s">
        <v>54</v>
      </c>
      <c r="G129" s="37"/>
      <c r="H129" s="94" t="s">
        <v>361</v>
      </c>
      <c r="I129" s="38" t="n">
        <v>1027</v>
      </c>
      <c r="J129" s="39" t="n">
        <v>1027</v>
      </c>
      <c r="K129" s="48" t="n">
        <v>12</v>
      </c>
      <c r="L129" s="40"/>
      <c r="M129" s="41" t="s">
        <v>24</v>
      </c>
    </row>
    <row r="130" customFormat="false" ht="15.75" hidden="false" customHeight="true" outlineLevel="0" collapsed="false">
      <c r="A130" s="95" t="n">
        <v>126</v>
      </c>
      <c r="B130" s="106" t="s">
        <v>244</v>
      </c>
      <c r="C130" s="49" t="s">
        <v>449</v>
      </c>
      <c r="D130" s="50" t="s">
        <v>450</v>
      </c>
      <c r="E130" s="51" t="s">
        <v>431</v>
      </c>
      <c r="F130" s="53" t="s">
        <v>219</v>
      </c>
      <c r="G130" s="54"/>
      <c r="H130" s="97" t="s">
        <v>370</v>
      </c>
      <c r="I130" s="55" t="n">
        <v>5900</v>
      </c>
      <c r="J130" s="56"/>
      <c r="K130" s="52" t="n">
        <v>376</v>
      </c>
      <c r="L130" s="57" t="n">
        <v>45807.2916666667</v>
      </c>
      <c r="M130" s="58" t="s">
        <v>24</v>
      </c>
    </row>
    <row r="131" customFormat="false" ht="15.75" hidden="false" customHeight="true" outlineLevel="0" collapsed="false">
      <c r="A131" s="95" t="n">
        <v>127</v>
      </c>
      <c r="B131" s="106" t="s">
        <v>244</v>
      </c>
      <c r="C131" s="49" t="s">
        <v>280</v>
      </c>
      <c r="D131" s="50" t="s">
        <v>281</v>
      </c>
      <c r="E131" s="51" t="s">
        <v>116</v>
      </c>
      <c r="F131" s="53" t="s">
        <v>219</v>
      </c>
      <c r="G131" s="50" t="s">
        <v>23</v>
      </c>
      <c r="H131" s="103" t="s">
        <v>361</v>
      </c>
      <c r="I131" s="55" t="n">
        <v>843.5</v>
      </c>
      <c r="J131" s="56" t="n">
        <v>843.5</v>
      </c>
      <c r="K131" s="52" t="n">
        <v>145</v>
      </c>
      <c r="L131" s="57" t="n">
        <v>45989.5</v>
      </c>
      <c r="M131" s="58" t="s">
        <v>24</v>
      </c>
    </row>
    <row r="132" customFormat="false" ht="15.75" hidden="false" customHeight="true" outlineLevel="0" collapsed="false">
      <c r="A132" s="107" t="n">
        <v>128</v>
      </c>
      <c r="B132" s="108" t="s">
        <v>244</v>
      </c>
      <c r="C132" s="63" t="s">
        <v>282</v>
      </c>
      <c r="D132" s="64" t="s">
        <v>283</v>
      </c>
      <c r="E132" s="65" t="s">
        <v>451</v>
      </c>
      <c r="F132" s="67" t="s">
        <v>271</v>
      </c>
      <c r="G132" s="64" t="s">
        <v>285</v>
      </c>
      <c r="H132" s="109" t="s">
        <v>361</v>
      </c>
      <c r="I132" s="68" t="n">
        <v>680.63</v>
      </c>
      <c r="J132" s="69" t="n">
        <v>1161.26</v>
      </c>
      <c r="K132" s="66" t="n">
        <v>43</v>
      </c>
      <c r="L132" s="70" t="n">
        <v>46076.5</v>
      </c>
      <c r="M132" s="71" t="s">
        <v>24</v>
      </c>
    </row>
    <row r="133" customFormat="false" ht="15.75" hidden="false" customHeight="true" outlineLevel="0" collapsed="false">
      <c r="A133" s="89" t="n">
        <v>129</v>
      </c>
      <c r="B133" s="110" t="s">
        <v>244</v>
      </c>
      <c r="C133" s="11" t="s">
        <v>452</v>
      </c>
      <c r="D133" s="12" t="s">
        <v>453</v>
      </c>
      <c r="E133" s="13" t="s">
        <v>385</v>
      </c>
      <c r="F133" s="15" t="s">
        <v>22</v>
      </c>
      <c r="G133" s="12" t="s">
        <v>285</v>
      </c>
      <c r="H133" s="99" t="s">
        <v>370</v>
      </c>
      <c r="I133" s="16" t="n">
        <v>580</v>
      </c>
      <c r="J133" s="17"/>
      <c r="K133" s="47" t="n">
        <v>22</v>
      </c>
      <c r="L133" s="18" t="n">
        <v>46097.6666666667</v>
      </c>
      <c r="M133" s="19" t="s">
        <v>24</v>
      </c>
    </row>
    <row r="134" customFormat="false" ht="15.75" hidden="false" customHeight="true" outlineLevel="0" collapsed="false">
      <c r="A134" s="95" t="n">
        <v>130</v>
      </c>
      <c r="B134" s="106" t="s">
        <v>244</v>
      </c>
      <c r="C134" s="49" t="s">
        <v>286</v>
      </c>
      <c r="D134" s="50" t="s">
        <v>287</v>
      </c>
      <c r="E134" s="51" t="s">
        <v>454</v>
      </c>
      <c r="F134" s="53" t="s">
        <v>219</v>
      </c>
      <c r="G134" s="50" t="s">
        <v>47</v>
      </c>
      <c r="H134" s="103" t="s">
        <v>361</v>
      </c>
      <c r="I134" s="55" t="n">
        <v>590</v>
      </c>
      <c r="J134" s="56" t="n">
        <v>590</v>
      </c>
      <c r="K134" s="52" t="n">
        <v>307</v>
      </c>
      <c r="L134" s="57" t="n">
        <v>45915.375</v>
      </c>
      <c r="M134" s="58" t="s">
        <v>24</v>
      </c>
    </row>
    <row r="135" customFormat="false" ht="15.75" hidden="false" customHeight="true" outlineLevel="0" collapsed="false">
      <c r="A135" s="92" t="n">
        <v>131</v>
      </c>
      <c r="B135" s="105" t="s">
        <v>244</v>
      </c>
      <c r="C135" s="32" t="s">
        <v>455</v>
      </c>
      <c r="D135" s="33" t="s">
        <v>145</v>
      </c>
      <c r="E135" s="34" t="s">
        <v>146</v>
      </c>
      <c r="F135" s="36" t="s">
        <v>54</v>
      </c>
      <c r="G135" s="37"/>
      <c r="H135" s="101" t="s">
        <v>370</v>
      </c>
      <c r="I135" s="38" t="n">
        <v>580</v>
      </c>
      <c r="J135" s="39"/>
      <c r="K135" s="35" t="n">
        <v>49</v>
      </c>
      <c r="L135" s="40"/>
      <c r="M135" s="41" t="s">
        <v>24</v>
      </c>
    </row>
    <row r="136" customFormat="false" ht="15.75" hidden="false" customHeight="true" outlineLevel="0" collapsed="false">
      <c r="A136" s="89" t="n">
        <v>132</v>
      </c>
      <c r="B136" s="110" t="s">
        <v>244</v>
      </c>
      <c r="C136" s="11" t="s">
        <v>456</v>
      </c>
      <c r="D136" s="12" t="s">
        <v>64</v>
      </c>
      <c r="E136" s="13" t="s">
        <v>372</v>
      </c>
      <c r="F136" s="15" t="s">
        <v>22</v>
      </c>
      <c r="G136" s="12" t="s">
        <v>23</v>
      </c>
      <c r="H136" s="99" t="s">
        <v>370</v>
      </c>
      <c r="I136" s="16" t="n">
        <v>460</v>
      </c>
      <c r="J136" s="17"/>
      <c r="K136" s="47" t="n">
        <v>7</v>
      </c>
      <c r="L136" s="18" t="n">
        <v>46119.2916666667</v>
      </c>
      <c r="M136" s="19" t="s">
        <v>24</v>
      </c>
    </row>
    <row r="137" customFormat="false" ht="15.75" hidden="false" customHeight="true" outlineLevel="0" collapsed="false">
      <c r="A137" s="89" t="n">
        <v>133</v>
      </c>
      <c r="B137" s="110" t="s">
        <v>244</v>
      </c>
      <c r="C137" s="11" t="s">
        <v>457</v>
      </c>
      <c r="D137" s="12" t="s">
        <v>458</v>
      </c>
      <c r="E137" s="13" t="s">
        <v>459</v>
      </c>
      <c r="F137" s="15" t="s">
        <v>22</v>
      </c>
      <c r="G137" s="12" t="s">
        <v>23</v>
      </c>
      <c r="H137" s="99" t="s">
        <v>370</v>
      </c>
      <c r="I137" s="16" t="n">
        <v>460</v>
      </c>
      <c r="J137" s="17"/>
      <c r="K137" s="47" t="n">
        <v>26</v>
      </c>
      <c r="L137" s="18" t="n">
        <v>46093.5416666667</v>
      </c>
      <c r="M137" s="19" t="s">
        <v>24</v>
      </c>
    </row>
    <row r="138" customFormat="false" ht="15.75" hidden="false" customHeight="true" outlineLevel="0" collapsed="false">
      <c r="A138" s="89" t="n">
        <v>134</v>
      </c>
      <c r="B138" s="110" t="s">
        <v>244</v>
      </c>
      <c r="C138" s="11" t="s">
        <v>460</v>
      </c>
      <c r="D138" s="12" t="s">
        <v>436</v>
      </c>
      <c r="E138" s="13" t="s">
        <v>437</v>
      </c>
      <c r="F138" s="15" t="s">
        <v>22</v>
      </c>
      <c r="G138" s="12" t="s">
        <v>38</v>
      </c>
      <c r="H138" s="99" t="s">
        <v>370</v>
      </c>
      <c r="I138" s="16" t="n">
        <v>460</v>
      </c>
      <c r="J138" s="17"/>
      <c r="K138" s="47" t="n">
        <v>29</v>
      </c>
      <c r="L138" s="18" t="n">
        <v>46091.25</v>
      </c>
      <c r="M138" s="19" t="s">
        <v>24</v>
      </c>
    </row>
    <row r="139" customFormat="false" ht="15.75" hidden="false" customHeight="true" outlineLevel="0" collapsed="false">
      <c r="A139" s="92" t="n">
        <v>135</v>
      </c>
      <c r="B139" s="105" t="s">
        <v>244</v>
      </c>
      <c r="C139" s="32" t="s">
        <v>289</v>
      </c>
      <c r="D139" s="33" t="s">
        <v>258</v>
      </c>
      <c r="E139" s="34" t="s">
        <v>431</v>
      </c>
      <c r="F139" s="36" t="s">
        <v>54</v>
      </c>
      <c r="G139" s="37"/>
      <c r="H139" s="94" t="s">
        <v>361</v>
      </c>
      <c r="I139" s="38" t="n">
        <v>520.002</v>
      </c>
      <c r="J139" s="39" t="n">
        <v>520</v>
      </c>
      <c r="K139" s="48" t="n">
        <v>0</v>
      </c>
      <c r="L139" s="40"/>
      <c r="M139" s="41" t="s">
        <v>24</v>
      </c>
    </row>
    <row r="140" customFormat="false" ht="15.75" hidden="false" customHeight="true" outlineLevel="0" collapsed="false">
      <c r="A140" s="89" t="n">
        <v>136</v>
      </c>
      <c r="B140" s="110" t="s">
        <v>244</v>
      </c>
      <c r="C140" s="11" t="s">
        <v>461</v>
      </c>
      <c r="D140" s="12" t="s">
        <v>320</v>
      </c>
      <c r="E140" s="13" t="s">
        <v>385</v>
      </c>
      <c r="F140" s="15" t="s">
        <v>22</v>
      </c>
      <c r="G140" s="12" t="s">
        <v>99</v>
      </c>
      <c r="H140" s="99" t="s">
        <v>370</v>
      </c>
      <c r="I140" s="16" t="n">
        <v>460</v>
      </c>
      <c r="J140" s="17"/>
      <c r="K140" s="47" t="n">
        <v>11</v>
      </c>
      <c r="L140" s="18" t="n">
        <v>46108.5486111111</v>
      </c>
      <c r="M140" s="19" t="s">
        <v>24</v>
      </c>
    </row>
    <row r="141" customFormat="false" ht="15.75" hidden="false" customHeight="true" outlineLevel="0" collapsed="false">
      <c r="A141" s="89" t="n">
        <v>137</v>
      </c>
      <c r="B141" s="110" t="s">
        <v>244</v>
      </c>
      <c r="C141" s="11" t="s">
        <v>462</v>
      </c>
      <c r="D141" s="12" t="s">
        <v>64</v>
      </c>
      <c r="E141" s="13" t="s">
        <v>372</v>
      </c>
      <c r="F141" s="15" t="s">
        <v>22</v>
      </c>
      <c r="G141" s="12" t="s">
        <v>23</v>
      </c>
      <c r="H141" s="99" t="s">
        <v>370</v>
      </c>
      <c r="I141" s="16" t="n">
        <v>130</v>
      </c>
      <c r="J141" s="17"/>
      <c r="K141" s="47" t="n">
        <v>22</v>
      </c>
      <c r="L141" s="18" t="n">
        <v>46105.3541666667</v>
      </c>
      <c r="M141" s="19" t="s">
        <v>24</v>
      </c>
    </row>
    <row r="142" customFormat="false" ht="15.75" hidden="false" customHeight="true" outlineLevel="0" collapsed="false">
      <c r="A142" s="89" t="n">
        <v>138</v>
      </c>
      <c r="B142" s="110" t="s">
        <v>244</v>
      </c>
      <c r="C142" s="11" t="s">
        <v>463</v>
      </c>
      <c r="D142" s="12" t="s">
        <v>464</v>
      </c>
      <c r="E142" s="13" t="s">
        <v>465</v>
      </c>
      <c r="F142" s="15" t="s">
        <v>22</v>
      </c>
      <c r="G142" s="12" t="s">
        <v>99</v>
      </c>
      <c r="H142" s="99" t="s">
        <v>370</v>
      </c>
      <c r="I142" s="16" t="n">
        <v>0</v>
      </c>
      <c r="J142" s="17"/>
      <c r="K142" s="47" t="n">
        <v>19</v>
      </c>
      <c r="L142" s="18" t="n">
        <v>46105.2291666667</v>
      </c>
      <c r="M142" s="19" t="s">
        <v>24</v>
      </c>
    </row>
    <row r="143" customFormat="false" ht="15.75" hidden="false" customHeight="true" outlineLevel="0" collapsed="false">
      <c r="A143" s="95" t="n">
        <v>139</v>
      </c>
      <c r="B143" s="106" t="s">
        <v>244</v>
      </c>
      <c r="C143" s="49" t="s">
        <v>290</v>
      </c>
      <c r="D143" s="50" t="s">
        <v>291</v>
      </c>
      <c r="E143" s="51" t="s">
        <v>375</v>
      </c>
      <c r="F143" s="53" t="s">
        <v>219</v>
      </c>
      <c r="G143" s="54"/>
      <c r="H143" s="103" t="s">
        <v>361</v>
      </c>
      <c r="I143" s="55" t="n">
        <v>3500</v>
      </c>
      <c r="J143" s="56"/>
      <c r="K143" s="52" t="n">
        <v>252</v>
      </c>
      <c r="L143" s="57" t="n">
        <v>45944.4583333333</v>
      </c>
      <c r="M143" s="58" t="s">
        <v>24</v>
      </c>
    </row>
    <row r="144" customFormat="false" ht="15.75" hidden="false" customHeight="true" outlineLevel="0" collapsed="false">
      <c r="A144" s="95" t="n">
        <v>140</v>
      </c>
      <c r="B144" s="106" t="s">
        <v>244</v>
      </c>
      <c r="C144" s="49" t="s">
        <v>466</v>
      </c>
      <c r="D144" s="50" t="s">
        <v>467</v>
      </c>
      <c r="E144" s="51" t="s">
        <v>468</v>
      </c>
      <c r="F144" s="53" t="s">
        <v>219</v>
      </c>
      <c r="G144" s="50" t="s">
        <v>38</v>
      </c>
      <c r="H144" s="97" t="s">
        <v>370</v>
      </c>
      <c r="I144" s="55" t="n">
        <v>920</v>
      </c>
      <c r="J144" s="56"/>
      <c r="K144" s="52" t="n">
        <v>292</v>
      </c>
      <c r="L144" s="57" t="n">
        <v>45848.4583333333</v>
      </c>
      <c r="M144" s="58" t="s">
        <v>24</v>
      </c>
    </row>
    <row r="145" customFormat="false" ht="15.75" hidden="false" customHeight="true" outlineLevel="0" collapsed="false">
      <c r="A145" s="107" t="n">
        <v>141</v>
      </c>
      <c r="B145" s="108" t="s">
        <v>244</v>
      </c>
      <c r="C145" s="63" t="s">
        <v>469</v>
      </c>
      <c r="D145" s="64" t="s">
        <v>470</v>
      </c>
      <c r="E145" s="65" t="s">
        <v>471</v>
      </c>
      <c r="F145" s="67" t="s">
        <v>271</v>
      </c>
      <c r="G145" s="64" t="s">
        <v>47</v>
      </c>
      <c r="H145" s="111" t="s">
        <v>370</v>
      </c>
      <c r="I145" s="68" t="n">
        <v>460</v>
      </c>
      <c r="J145" s="69"/>
      <c r="K145" s="66" t="n">
        <v>54</v>
      </c>
      <c r="L145" s="70" t="n">
        <v>46066.3333333333</v>
      </c>
      <c r="M145" s="71" t="s">
        <v>24</v>
      </c>
    </row>
    <row r="146" customFormat="false" ht="15.75" hidden="false" customHeight="true" outlineLevel="0" collapsed="false">
      <c r="A146" s="95" t="n">
        <v>142</v>
      </c>
      <c r="B146" s="106" t="s">
        <v>244</v>
      </c>
      <c r="C146" s="49" t="s">
        <v>472</v>
      </c>
      <c r="D146" s="50" t="s">
        <v>473</v>
      </c>
      <c r="E146" s="51" t="s">
        <v>385</v>
      </c>
      <c r="F146" s="53" t="s">
        <v>219</v>
      </c>
      <c r="G146" s="50" t="s">
        <v>95</v>
      </c>
      <c r="H146" s="97" t="s">
        <v>370</v>
      </c>
      <c r="I146" s="55" t="n">
        <v>460</v>
      </c>
      <c r="J146" s="56"/>
      <c r="K146" s="52" t="n">
        <v>104</v>
      </c>
      <c r="L146" s="57" t="n">
        <v>46015.25</v>
      </c>
      <c r="M146" s="58" t="s">
        <v>24</v>
      </c>
    </row>
    <row r="147" customFormat="false" ht="15.75" hidden="false" customHeight="true" outlineLevel="0" collapsed="false">
      <c r="A147" s="107" t="n">
        <v>143</v>
      </c>
      <c r="B147" s="108" t="s">
        <v>244</v>
      </c>
      <c r="C147" s="63" t="s">
        <v>474</v>
      </c>
      <c r="D147" s="64" t="s">
        <v>475</v>
      </c>
      <c r="E147" s="65" t="s">
        <v>476</v>
      </c>
      <c r="F147" s="67" t="s">
        <v>271</v>
      </c>
      <c r="G147" s="64" t="s">
        <v>285</v>
      </c>
      <c r="H147" s="111" t="s">
        <v>370</v>
      </c>
      <c r="I147" s="68" t="n">
        <v>460</v>
      </c>
      <c r="J147" s="69"/>
      <c r="K147" s="66" t="n">
        <v>39</v>
      </c>
      <c r="L147" s="70" t="n">
        <v>46083.5</v>
      </c>
      <c r="M147" s="71" t="s">
        <v>24</v>
      </c>
    </row>
    <row r="148" customFormat="false" ht="15.75" hidden="false" customHeight="true" outlineLevel="0" collapsed="false">
      <c r="A148" s="95" t="n">
        <v>144</v>
      </c>
      <c r="B148" s="106" t="s">
        <v>244</v>
      </c>
      <c r="C148" s="49" t="s">
        <v>477</v>
      </c>
      <c r="D148" s="50" t="s">
        <v>317</v>
      </c>
      <c r="E148" s="51" t="s">
        <v>478</v>
      </c>
      <c r="F148" s="53" t="s">
        <v>219</v>
      </c>
      <c r="G148" s="54"/>
      <c r="H148" s="97" t="s">
        <v>370</v>
      </c>
      <c r="I148" s="55" t="n">
        <v>460</v>
      </c>
      <c r="J148" s="56"/>
      <c r="K148" s="52" t="n">
        <v>173</v>
      </c>
      <c r="L148" s="57" t="n">
        <v>45951.4166666667</v>
      </c>
      <c r="M148" s="58" t="s">
        <v>24</v>
      </c>
    </row>
    <row r="149" customFormat="false" ht="15.75" hidden="false" customHeight="true" outlineLevel="0" collapsed="false">
      <c r="A149" s="92" t="n">
        <v>145</v>
      </c>
      <c r="B149" s="105" t="s">
        <v>244</v>
      </c>
      <c r="C149" s="32" t="s">
        <v>479</v>
      </c>
      <c r="D149" s="33" t="s">
        <v>480</v>
      </c>
      <c r="E149" s="34" t="s">
        <v>385</v>
      </c>
      <c r="F149" s="36" t="s">
        <v>54</v>
      </c>
      <c r="G149" s="37"/>
      <c r="H149" s="101" t="s">
        <v>370</v>
      </c>
      <c r="I149" s="38" t="n">
        <v>460</v>
      </c>
      <c r="J149" s="39"/>
      <c r="K149" s="48" t="n">
        <v>-1</v>
      </c>
      <c r="L149" s="40"/>
      <c r="M149" s="41" t="s">
        <v>24</v>
      </c>
    </row>
    <row r="150" customFormat="false" ht="15.75" hidden="false" customHeight="true" outlineLevel="0" collapsed="false">
      <c r="A150" s="92" t="n">
        <v>146</v>
      </c>
      <c r="B150" s="105" t="s">
        <v>244</v>
      </c>
      <c r="C150" s="32" t="s">
        <v>481</v>
      </c>
      <c r="D150" s="33" t="s">
        <v>243</v>
      </c>
      <c r="E150" s="34" t="s">
        <v>385</v>
      </c>
      <c r="F150" s="36" t="s">
        <v>54</v>
      </c>
      <c r="G150" s="37"/>
      <c r="H150" s="101" t="s">
        <v>370</v>
      </c>
      <c r="I150" s="38" t="n">
        <v>0</v>
      </c>
      <c r="J150" s="39"/>
      <c r="K150" s="48" t="n">
        <v>14</v>
      </c>
      <c r="L150" s="40"/>
      <c r="M150" s="41" t="s">
        <v>24</v>
      </c>
    </row>
    <row r="151" customFormat="false" ht="15.75" hidden="false" customHeight="true" outlineLevel="0" collapsed="false">
      <c r="A151" s="92" t="n">
        <v>147</v>
      </c>
      <c r="B151" s="105" t="s">
        <v>244</v>
      </c>
      <c r="C151" s="32" t="s">
        <v>482</v>
      </c>
      <c r="D151" s="33" t="s">
        <v>243</v>
      </c>
      <c r="E151" s="34" t="s">
        <v>385</v>
      </c>
      <c r="F151" s="36" t="s">
        <v>54</v>
      </c>
      <c r="G151" s="37"/>
      <c r="H151" s="101" t="s">
        <v>370</v>
      </c>
      <c r="I151" s="38" t="n">
        <v>0</v>
      </c>
      <c r="J151" s="39"/>
      <c r="K151" s="48" t="n">
        <v>-1</v>
      </c>
      <c r="L151" s="40"/>
      <c r="M151" s="41" t="s">
        <v>24</v>
      </c>
    </row>
    <row r="152" customFormat="false" ht="15.75" hidden="false" customHeight="true" outlineLevel="0" collapsed="false">
      <c r="A152" s="95" t="n">
        <v>148</v>
      </c>
      <c r="B152" s="106" t="s">
        <v>244</v>
      </c>
      <c r="C152" s="49" t="s">
        <v>483</v>
      </c>
      <c r="D152" s="50" t="s">
        <v>484</v>
      </c>
      <c r="E152" s="51" t="s">
        <v>485</v>
      </c>
      <c r="F152" s="53" t="s">
        <v>219</v>
      </c>
      <c r="G152" s="54"/>
      <c r="H152" s="97" t="s">
        <v>370</v>
      </c>
      <c r="I152" s="55" t="n">
        <v>0</v>
      </c>
      <c r="J152" s="56"/>
      <c r="K152" s="52" t="n">
        <v>348</v>
      </c>
      <c r="L152" s="57" t="n">
        <v>46072.5833333333</v>
      </c>
      <c r="M152" s="58" t="s">
        <v>24</v>
      </c>
    </row>
    <row r="153" customFormat="false" ht="15.75" hidden="false" customHeight="true" outlineLevel="0" collapsed="false">
      <c r="A153" s="95" t="n">
        <v>149</v>
      </c>
      <c r="B153" s="106" t="s">
        <v>244</v>
      </c>
      <c r="C153" s="49" t="s">
        <v>292</v>
      </c>
      <c r="D153" s="50" t="s">
        <v>215</v>
      </c>
      <c r="E153" s="51" t="s">
        <v>413</v>
      </c>
      <c r="F153" s="53" t="s">
        <v>219</v>
      </c>
      <c r="G153" s="54"/>
      <c r="H153" s="103" t="s">
        <v>361</v>
      </c>
      <c r="I153" s="55" t="n">
        <v>9587.818</v>
      </c>
      <c r="J153" s="56" t="n">
        <v>9587.82</v>
      </c>
      <c r="K153" s="73" t="n">
        <v>11</v>
      </c>
      <c r="L153" s="57" t="n">
        <v>46147.25</v>
      </c>
      <c r="M153" s="58" t="s">
        <v>24</v>
      </c>
    </row>
    <row r="154" customFormat="false" ht="15.75" hidden="false" customHeight="true" outlineLevel="0" collapsed="false">
      <c r="A154" s="95" t="n">
        <v>150</v>
      </c>
      <c r="B154" s="106" t="s">
        <v>244</v>
      </c>
      <c r="C154" s="49" t="s">
        <v>293</v>
      </c>
      <c r="D154" s="50" t="s">
        <v>294</v>
      </c>
      <c r="E154" s="51" t="s">
        <v>295</v>
      </c>
      <c r="F154" s="53" t="s">
        <v>219</v>
      </c>
      <c r="G154" s="54"/>
      <c r="H154" s="103" t="s">
        <v>361</v>
      </c>
      <c r="I154" s="55" t="n">
        <v>4174.009</v>
      </c>
      <c r="J154" s="56" t="n">
        <v>4174.01</v>
      </c>
      <c r="K154" s="74" t="n">
        <v>82</v>
      </c>
      <c r="L154" s="57" t="n">
        <v>46059.25</v>
      </c>
      <c r="M154" s="58" t="s">
        <v>24</v>
      </c>
    </row>
    <row r="155" customFormat="false" ht="15.75" hidden="false" customHeight="true" outlineLevel="0" collapsed="false">
      <c r="A155" s="95" t="n">
        <v>151</v>
      </c>
      <c r="B155" s="106" t="s">
        <v>244</v>
      </c>
      <c r="C155" s="49" t="s">
        <v>296</v>
      </c>
      <c r="D155" s="50" t="s">
        <v>297</v>
      </c>
      <c r="E155" s="51" t="s">
        <v>298</v>
      </c>
      <c r="F155" s="53" t="s">
        <v>219</v>
      </c>
      <c r="G155" s="54"/>
      <c r="H155" s="103" t="s">
        <v>361</v>
      </c>
      <c r="I155" s="55" t="n">
        <v>3906.208</v>
      </c>
      <c r="J155" s="56" t="n">
        <v>3906.21</v>
      </c>
      <c r="K155" s="74" t="n">
        <v>83</v>
      </c>
      <c r="L155" s="57" t="n">
        <v>46038.25</v>
      </c>
      <c r="M155" s="58" t="s">
        <v>24</v>
      </c>
    </row>
    <row r="156" customFormat="false" ht="15.75" hidden="false" customHeight="true" outlineLevel="0" collapsed="false">
      <c r="A156" s="95" t="n">
        <v>152</v>
      </c>
      <c r="B156" s="106" t="s">
        <v>244</v>
      </c>
      <c r="C156" s="49" t="s">
        <v>299</v>
      </c>
      <c r="D156" s="50" t="s">
        <v>300</v>
      </c>
      <c r="E156" s="51" t="s">
        <v>376</v>
      </c>
      <c r="F156" s="53" t="s">
        <v>219</v>
      </c>
      <c r="G156" s="54"/>
      <c r="H156" s="103" t="s">
        <v>361</v>
      </c>
      <c r="I156" s="55" t="n">
        <v>3283.2348</v>
      </c>
      <c r="J156" s="56" t="n">
        <v>3283.24</v>
      </c>
      <c r="K156" s="74" t="n">
        <v>42</v>
      </c>
      <c r="L156" s="57" t="n">
        <v>46135.25</v>
      </c>
      <c r="M156" s="58" t="s">
        <v>24</v>
      </c>
    </row>
    <row r="157" customFormat="false" ht="15.75" hidden="false" customHeight="true" outlineLevel="0" collapsed="false">
      <c r="A157" s="95" t="n">
        <v>153</v>
      </c>
      <c r="B157" s="106" t="s">
        <v>244</v>
      </c>
      <c r="C157" s="49" t="s">
        <v>301</v>
      </c>
      <c r="D157" s="50" t="s">
        <v>302</v>
      </c>
      <c r="E157" s="51" t="s">
        <v>486</v>
      </c>
      <c r="F157" s="53" t="s">
        <v>219</v>
      </c>
      <c r="G157" s="54"/>
      <c r="H157" s="103" t="s">
        <v>361</v>
      </c>
      <c r="I157" s="55" t="n">
        <v>2865.004</v>
      </c>
      <c r="J157" s="56" t="n">
        <v>2865</v>
      </c>
      <c r="K157" s="74" t="n">
        <v>35</v>
      </c>
      <c r="L157" s="57" t="n">
        <v>46126.25</v>
      </c>
      <c r="M157" s="58" t="s">
        <v>24</v>
      </c>
    </row>
    <row r="158" customFormat="false" ht="15.75" hidden="false" customHeight="true" outlineLevel="0" collapsed="false">
      <c r="A158" s="95" t="n">
        <v>154</v>
      </c>
      <c r="B158" s="106" t="s">
        <v>244</v>
      </c>
      <c r="C158" s="49" t="s">
        <v>304</v>
      </c>
      <c r="D158" s="50" t="s">
        <v>305</v>
      </c>
      <c r="E158" s="51" t="s">
        <v>306</v>
      </c>
      <c r="F158" s="53" t="s">
        <v>219</v>
      </c>
      <c r="G158" s="54"/>
      <c r="H158" s="103" t="s">
        <v>361</v>
      </c>
      <c r="I158" s="55" t="n">
        <v>1985</v>
      </c>
      <c r="J158" s="56" t="n">
        <v>1985</v>
      </c>
      <c r="K158" s="74" t="n">
        <v>53</v>
      </c>
      <c r="L158" s="57" t="n">
        <v>46071.25</v>
      </c>
      <c r="M158" s="58" t="s">
        <v>24</v>
      </c>
    </row>
    <row r="159" customFormat="false" ht="15.75" hidden="false" customHeight="true" outlineLevel="0" collapsed="false">
      <c r="A159" s="95" t="n">
        <v>155</v>
      </c>
      <c r="B159" s="106" t="s">
        <v>244</v>
      </c>
      <c r="C159" s="49" t="s">
        <v>307</v>
      </c>
      <c r="D159" s="50" t="s">
        <v>308</v>
      </c>
      <c r="E159" s="51" t="s">
        <v>385</v>
      </c>
      <c r="F159" s="53" t="s">
        <v>219</v>
      </c>
      <c r="G159" s="54"/>
      <c r="H159" s="103" t="s">
        <v>361</v>
      </c>
      <c r="I159" s="55" t="n">
        <v>1670.762</v>
      </c>
      <c r="J159" s="56" t="n">
        <v>1670.76</v>
      </c>
      <c r="K159" s="74" t="n">
        <v>41</v>
      </c>
      <c r="L159" s="57" t="n">
        <v>46139.25</v>
      </c>
      <c r="M159" s="58" t="s">
        <v>24</v>
      </c>
    </row>
    <row r="160" customFormat="false" ht="15.75" hidden="false" customHeight="true" outlineLevel="0" collapsed="false">
      <c r="A160" s="95" t="n">
        <v>156</v>
      </c>
      <c r="B160" s="106" t="s">
        <v>244</v>
      </c>
      <c r="C160" s="49" t="s">
        <v>311</v>
      </c>
      <c r="D160" s="50" t="s">
        <v>208</v>
      </c>
      <c r="E160" s="51" t="s">
        <v>411</v>
      </c>
      <c r="F160" s="53" t="s">
        <v>219</v>
      </c>
      <c r="G160" s="54"/>
      <c r="H160" s="103" t="s">
        <v>361</v>
      </c>
      <c r="I160" s="55" t="n">
        <v>5673.04</v>
      </c>
      <c r="J160" s="56" t="n">
        <v>5673.04</v>
      </c>
      <c r="K160" s="73" t="n">
        <v>14</v>
      </c>
      <c r="L160" s="57" t="n">
        <v>46141.25</v>
      </c>
      <c r="M160" s="58" t="s">
        <v>24</v>
      </c>
    </row>
    <row r="161" customFormat="false" ht="15.75" hidden="false" customHeight="true" outlineLevel="0" collapsed="false">
      <c r="A161" s="95" t="n">
        <v>157</v>
      </c>
      <c r="B161" s="106" t="s">
        <v>244</v>
      </c>
      <c r="C161" s="49" t="s">
        <v>309</v>
      </c>
      <c r="D161" s="50" t="s">
        <v>310</v>
      </c>
      <c r="E161" s="51" t="s">
        <v>385</v>
      </c>
      <c r="F161" s="53" t="s">
        <v>219</v>
      </c>
      <c r="G161" s="54"/>
      <c r="H161" s="103" t="s">
        <v>361</v>
      </c>
      <c r="I161" s="55" t="n">
        <v>660.513</v>
      </c>
      <c r="J161" s="56" t="n">
        <v>660.51</v>
      </c>
      <c r="K161" s="74" t="n">
        <v>40</v>
      </c>
      <c r="L161" s="57" t="n">
        <v>46092.5</v>
      </c>
      <c r="M161" s="58" t="s">
        <v>24</v>
      </c>
    </row>
    <row r="162" customFormat="false" ht="15.75" hidden="false" customHeight="true" outlineLevel="0" collapsed="false">
      <c r="A162" s="107" t="n">
        <v>158</v>
      </c>
      <c r="B162" s="108" t="s">
        <v>244</v>
      </c>
      <c r="C162" s="63" t="s">
        <v>487</v>
      </c>
      <c r="D162" s="64" t="s">
        <v>488</v>
      </c>
      <c r="E162" s="65" t="s">
        <v>489</v>
      </c>
      <c r="F162" s="67" t="s">
        <v>271</v>
      </c>
      <c r="G162" s="64" t="s">
        <v>285</v>
      </c>
      <c r="H162" s="111" t="s">
        <v>370</v>
      </c>
      <c r="I162" s="68" t="n">
        <v>580</v>
      </c>
      <c r="J162" s="69"/>
      <c r="K162" s="112" t="n">
        <v>11</v>
      </c>
      <c r="L162" s="70" t="n">
        <v>46108.6666666667</v>
      </c>
      <c r="M162" s="71" t="s">
        <v>24</v>
      </c>
    </row>
    <row r="163" customFormat="false" ht="15.75" hidden="false" customHeight="true" outlineLevel="0" collapsed="false">
      <c r="A163" s="95" t="n">
        <v>159</v>
      </c>
      <c r="B163" s="106" t="s">
        <v>244</v>
      </c>
      <c r="C163" s="49" t="s">
        <v>312</v>
      </c>
      <c r="D163" s="50" t="s">
        <v>239</v>
      </c>
      <c r="E163" s="51" t="s">
        <v>422</v>
      </c>
      <c r="F163" s="53" t="s">
        <v>219</v>
      </c>
      <c r="G163" s="54"/>
      <c r="H163" s="103" t="s">
        <v>361</v>
      </c>
      <c r="I163" s="55" t="n">
        <v>5238.4</v>
      </c>
      <c r="J163" s="56" t="n">
        <v>5238.4</v>
      </c>
      <c r="K163" s="73" t="n">
        <v>-1</v>
      </c>
      <c r="L163" s="57"/>
      <c r="M163" s="58" t="s">
        <v>24</v>
      </c>
    </row>
    <row r="164" customFormat="false" ht="15.75" hidden="false" customHeight="true" outlineLevel="0" collapsed="false">
      <c r="A164" s="107" t="n">
        <v>160</v>
      </c>
      <c r="B164" s="108" t="s">
        <v>244</v>
      </c>
      <c r="C164" s="63" t="s">
        <v>490</v>
      </c>
      <c r="D164" s="64" t="s">
        <v>491</v>
      </c>
      <c r="E164" s="65" t="s">
        <v>492</v>
      </c>
      <c r="F164" s="67" t="s">
        <v>271</v>
      </c>
      <c r="G164" s="64" t="s">
        <v>285</v>
      </c>
      <c r="H164" s="111" t="s">
        <v>370</v>
      </c>
      <c r="I164" s="68" t="n">
        <v>0</v>
      </c>
      <c r="J164" s="69"/>
      <c r="K164" s="112" t="n">
        <v>8</v>
      </c>
      <c r="L164" s="70" t="n">
        <v>46111.7291666667</v>
      </c>
      <c r="M164" s="71" t="s">
        <v>24</v>
      </c>
    </row>
    <row r="165" customFormat="false" ht="15.75" hidden="false" customHeight="true" outlineLevel="0" collapsed="false">
      <c r="A165" s="95" t="n">
        <v>161</v>
      </c>
      <c r="B165" s="106" t="s">
        <v>244</v>
      </c>
      <c r="C165" s="49" t="s">
        <v>313</v>
      </c>
      <c r="D165" s="50" t="s">
        <v>314</v>
      </c>
      <c r="E165" s="51" t="s">
        <v>493</v>
      </c>
      <c r="F165" s="53" t="s">
        <v>219</v>
      </c>
      <c r="G165" s="54"/>
      <c r="H165" s="103" t="s">
        <v>361</v>
      </c>
      <c r="I165" s="55" t="n">
        <v>3190</v>
      </c>
      <c r="J165" s="56" t="n">
        <v>3190</v>
      </c>
      <c r="K165" s="73" t="n">
        <v>11</v>
      </c>
      <c r="L165" s="57" t="n">
        <v>46120.2916666667</v>
      </c>
      <c r="M165" s="58" t="s">
        <v>24</v>
      </c>
    </row>
    <row r="166" customFormat="false" ht="15.75" hidden="false" customHeight="true" outlineLevel="0" collapsed="false">
      <c r="A166" s="95" t="n">
        <v>162</v>
      </c>
      <c r="B166" s="106" t="s">
        <v>244</v>
      </c>
      <c r="C166" s="49" t="s">
        <v>316</v>
      </c>
      <c r="D166" s="50" t="s">
        <v>317</v>
      </c>
      <c r="E166" s="51" t="s">
        <v>478</v>
      </c>
      <c r="F166" s="53" t="s">
        <v>219</v>
      </c>
      <c r="G166" s="54"/>
      <c r="H166" s="103" t="s">
        <v>361</v>
      </c>
      <c r="I166" s="55" t="n">
        <v>1753.9506</v>
      </c>
      <c r="J166" s="56" t="n">
        <v>1753.96</v>
      </c>
      <c r="K166" s="73" t="n">
        <v>25</v>
      </c>
      <c r="L166" s="57" t="n">
        <v>46140.25</v>
      </c>
      <c r="M166" s="58" t="s">
        <v>24</v>
      </c>
    </row>
    <row r="167" customFormat="false" ht="15.75" hidden="false" customHeight="true" outlineLevel="0" collapsed="false">
      <c r="A167" s="95" t="n">
        <v>163</v>
      </c>
      <c r="B167" s="106" t="s">
        <v>244</v>
      </c>
      <c r="C167" s="49" t="s">
        <v>319</v>
      </c>
      <c r="D167" s="50" t="s">
        <v>320</v>
      </c>
      <c r="E167" s="51" t="s">
        <v>385</v>
      </c>
      <c r="F167" s="53" t="s">
        <v>219</v>
      </c>
      <c r="G167" s="54"/>
      <c r="H167" s="103" t="s">
        <v>361</v>
      </c>
      <c r="I167" s="55" t="n">
        <v>1733.413</v>
      </c>
      <c r="J167" s="56" t="n">
        <v>1733.41</v>
      </c>
      <c r="K167" s="73" t="n">
        <v>12</v>
      </c>
      <c r="L167" s="57" t="n">
        <v>46143.25</v>
      </c>
      <c r="M167" s="58" t="s">
        <v>24</v>
      </c>
    </row>
    <row r="168" customFormat="false" ht="15.75" hidden="false" customHeight="true" outlineLevel="0" collapsed="false">
      <c r="A168" s="95" t="n">
        <v>164</v>
      </c>
      <c r="B168" s="106" t="s">
        <v>244</v>
      </c>
      <c r="C168" s="49" t="s">
        <v>321</v>
      </c>
      <c r="D168" s="50" t="s">
        <v>322</v>
      </c>
      <c r="E168" s="51" t="s">
        <v>494</v>
      </c>
      <c r="F168" s="53" t="s">
        <v>219</v>
      </c>
      <c r="G168" s="54"/>
      <c r="H168" s="103" t="s">
        <v>361</v>
      </c>
      <c r="I168" s="55" t="n">
        <v>1325.0025</v>
      </c>
      <c r="J168" s="56" t="n">
        <v>1325</v>
      </c>
      <c r="K168" s="73" t="n">
        <v>8</v>
      </c>
      <c r="L168" s="57" t="n">
        <v>46125.25</v>
      </c>
      <c r="M168" s="58" t="s">
        <v>24</v>
      </c>
    </row>
    <row r="169" customFormat="false" ht="15.75" hidden="false" customHeight="true" outlineLevel="0" collapsed="false">
      <c r="A169" s="95" t="n">
        <v>165</v>
      </c>
      <c r="B169" s="106" t="s">
        <v>244</v>
      </c>
      <c r="C169" s="49" t="s">
        <v>324</v>
      </c>
      <c r="D169" s="50" t="s">
        <v>325</v>
      </c>
      <c r="E169" s="51" t="s">
        <v>495</v>
      </c>
      <c r="F169" s="53" t="s">
        <v>219</v>
      </c>
      <c r="G169" s="54"/>
      <c r="H169" s="103" t="s">
        <v>361</v>
      </c>
      <c r="I169" s="55" t="n">
        <v>780.003</v>
      </c>
      <c r="J169" s="56" t="n">
        <v>780</v>
      </c>
      <c r="K169" s="73" t="n">
        <v>28</v>
      </c>
      <c r="L169" s="57" t="n">
        <v>46106.3333333333</v>
      </c>
      <c r="M169" s="58" t="s">
        <v>24</v>
      </c>
    </row>
    <row r="170" customFormat="false" ht="15.75" hidden="false" customHeight="true" outlineLevel="0" collapsed="false">
      <c r="A170" s="95" t="n">
        <v>166</v>
      </c>
      <c r="B170" s="106" t="s">
        <v>244</v>
      </c>
      <c r="C170" s="49" t="s">
        <v>327</v>
      </c>
      <c r="D170" s="50" t="s">
        <v>328</v>
      </c>
      <c r="E170" s="51" t="s">
        <v>329</v>
      </c>
      <c r="F170" s="53" t="s">
        <v>219</v>
      </c>
      <c r="G170" s="54"/>
      <c r="H170" s="103" t="s">
        <v>361</v>
      </c>
      <c r="I170" s="55" t="n">
        <v>700.102</v>
      </c>
      <c r="J170" s="56" t="n">
        <v>700.1</v>
      </c>
      <c r="K170" s="73" t="n">
        <v>19</v>
      </c>
      <c r="L170" s="57" t="n">
        <v>46107.4166666667</v>
      </c>
      <c r="M170" s="58" t="s">
        <v>24</v>
      </c>
    </row>
    <row r="171" customFormat="false" ht="15.75" hidden="false" customHeight="true" outlineLevel="0" collapsed="false">
      <c r="A171" s="95" t="n">
        <v>167</v>
      </c>
      <c r="B171" s="106" t="s">
        <v>244</v>
      </c>
      <c r="C171" s="49" t="s">
        <v>330</v>
      </c>
      <c r="D171" s="50" t="s">
        <v>331</v>
      </c>
      <c r="E171" s="51" t="s">
        <v>496</v>
      </c>
      <c r="F171" s="53" t="s">
        <v>219</v>
      </c>
      <c r="G171" s="54"/>
      <c r="H171" s="103" t="s">
        <v>361</v>
      </c>
      <c r="I171" s="55" t="n">
        <v>650.0025</v>
      </c>
      <c r="J171" s="56" t="n">
        <v>650</v>
      </c>
      <c r="K171" s="73" t="n">
        <v>11</v>
      </c>
      <c r="L171" s="57" t="n">
        <v>46146.25</v>
      </c>
      <c r="M171" s="58" t="s">
        <v>24</v>
      </c>
    </row>
    <row r="172" customFormat="false" ht="15.75" hidden="false" customHeight="true" outlineLevel="0" collapsed="false">
      <c r="A172" s="95" t="n">
        <v>168</v>
      </c>
      <c r="B172" s="106" t="s">
        <v>244</v>
      </c>
      <c r="C172" s="49" t="s">
        <v>333</v>
      </c>
      <c r="D172" s="50" t="s">
        <v>71</v>
      </c>
      <c r="E172" s="51" t="s">
        <v>373</v>
      </c>
      <c r="F172" s="53" t="s">
        <v>219</v>
      </c>
      <c r="G172" s="54"/>
      <c r="H172" s="103" t="s">
        <v>361</v>
      </c>
      <c r="I172" s="55" t="n">
        <v>460</v>
      </c>
      <c r="J172" s="56" t="n">
        <v>460</v>
      </c>
      <c r="K172" s="73" t="n">
        <v>14</v>
      </c>
      <c r="L172" s="57" t="n">
        <v>46142.25</v>
      </c>
      <c r="M172" s="58" t="s">
        <v>24</v>
      </c>
    </row>
    <row r="173" customFormat="false" ht="15.75" hidden="false" customHeight="true" outlineLevel="0" collapsed="false">
      <c r="A173" s="95" t="n">
        <v>169</v>
      </c>
      <c r="B173" s="106" t="s">
        <v>244</v>
      </c>
      <c r="C173" s="49" t="s">
        <v>497</v>
      </c>
      <c r="D173" s="50" t="s">
        <v>498</v>
      </c>
      <c r="E173" s="51" t="s">
        <v>499</v>
      </c>
      <c r="F173" s="53" t="s">
        <v>219</v>
      </c>
      <c r="G173" s="54"/>
      <c r="H173" s="97" t="s">
        <v>370</v>
      </c>
      <c r="I173" s="55" t="n">
        <v>460</v>
      </c>
      <c r="J173" s="56"/>
      <c r="K173" s="74" t="n">
        <v>40</v>
      </c>
      <c r="L173" s="57" t="n">
        <v>46106.4270833333</v>
      </c>
      <c r="M173" s="58" t="s">
        <v>24</v>
      </c>
    </row>
    <row r="174" customFormat="false" ht="15.75" hidden="false" customHeight="true" outlineLevel="0" collapsed="false">
      <c r="A174" s="95" t="n">
        <v>170</v>
      </c>
      <c r="B174" s="106" t="s">
        <v>244</v>
      </c>
      <c r="C174" s="49" t="s">
        <v>500</v>
      </c>
      <c r="D174" s="50" t="s">
        <v>501</v>
      </c>
      <c r="E174" s="51" t="s">
        <v>385</v>
      </c>
      <c r="F174" s="53" t="s">
        <v>219</v>
      </c>
      <c r="G174" s="54"/>
      <c r="H174" s="97" t="s">
        <v>370</v>
      </c>
      <c r="I174" s="55" t="n">
        <v>460</v>
      </c>
      <c r="J174" s="56"/>
      <c r="K174" s="74" t="n">
        <v>82</v>
      </c>
      <c r="L174" s="57" t="n">
        <v>46037.25</v>
      </c>
      <c r="M174" s="58" t="s">
        <v>24</v>
      </c>
    </row>
    <row r="175" customFormat="false" ht="15.75" hidden="false" customHeight="true" outlineLevel="0" collapsed="false">
      <c r="A175" s="95" t="n">
        <v>171</v>
      </c>
      <c r="B175" s="106" t="s">
        <v>244</v>
      </c>
      <c r="C175" s="49" t="s">
        <v>334</v>
      </c>
      <c r="D175" s="50" t="s">
        <v>335</v>
      </c>
      <c r="E175" s="51" t="s">
        <v>372</v>
      </c>
      <c r="F175" s="53" t="s">
        <v>219</v>
      </c>
      <c r="G175" s="54"/>
      <c r="H175" s="103" t="s">
        <v>361</v>
      </c>
      <c r="I175" s="55" t="n">
        <v>520.002</v>
      </c>
      <c r="J175" s="56" t="n">
        <v>520</v>
      </c>
      <c r="K175" s="73" t="n">
        <v>19</v>
      </c>
      <c r="L175" s="57" t="n">
        <v>46108.375</v>
      </c>
      <c r="M175" s="58" t="s">
        <v>24</v>
      </c>
    </row>
    <row r="176" customFormat="false" ht="15.75" hidden="false" customHeight="true" outlineLevel="0" collapsed="false">
      <c r="A176" s="95" t="n">
        <v>172</v>
      </c>
      <c r="B176" s="106" t="s">
        <v>244</v>
      </c>
      <c r="C176" s="49" t="s">
        <v>336</v>
      </c>
      <c r="D176" s="50" t="s">
        <v>40</v>
      </c>
      <c r="E176" s="51" t="s">
        <v>41</v>
      </c>
      <c r="F176" s="53" t="s">
        <v>219</v>
      </c>
      <c r="G176" s="54"/>
      <c r="H176" s="103" t="s">
        <v>361</v>
      </c>
      <c r="I176" s="55" t="n">
        <v>460</v>
      </c>
      <c r="J176" s="56" t="n">
        <v>460</v>
      </c>
      <c r="K176" s="73" t="n">
        <v>5</v>
      </c>
      <c r="L176" s="57" t="n">
        <v>46119.5</v>
      </c>
      <c r="M176" s="58" t="s">
        <v>24</v>
      </c>
    </row>
    <row r="177" customFormat="false" ht="15.75" hidden="false" customHeight="true" outlineLevel="0" collapsed="false">
      <c r="A177" s="95" t="n">
        <v>173</v>
      </c>
      <c r="B177" s="106" t="s">
        <v>244</v>
      </c>
      <c r="C177" s="49" t="s">
        <v>502</v>
      </c>
      <c r="D177" s="50" t="s">
        <v>297</v>
      </c>
      <c r="E177" s="51" t="s">
        <v>298</v>
      </c>
      <c r="F177" s="53" t="s">
        <v>219</v>
      </c>
      <c r="G177" s="54"/>
      <c r="H177" s="97" t="s">
        <v>370</v>
      </c>
      <c r="I177" s="55" t="n">
        <v>330</v>
      </c>
      <c r="J177" s="56"/>
      <c r="K177" s="74" t="n">
        <v>36</v>
      </c>
      <c r="L177" s="57" t="n">
        <v>46108.25</v>
      </c>
      <c r="M177" s="58" t="s">
        <v>24</v>
      </c>
    </row>
    <row r="178" customFormat="false" ht="15.75" hidden="false" customHeight="true" outlineLevel="0" collapsed="false">
      <c r="A178" s="95" t="n">
        <v>174</v>
      </c>
      <c r="B178" s="106" t="s">
        <v>244</v>
      </c>
      <c r="C178" s="49" t="s">
        <v>337</v>
      </c>
      <c r="D178" s="50" t="s">
        <v>338</v>
      </c>
      <c r="E178" s="51" t="s">
        <v>385</v>
      </c>
      <c r="F178" s="53" t="s">
        <v>219</v>
      </c>
      <c r="G178" s="54"/>
      <c r="H178" s="103" t="s">
        <v>361</v>
      </c>
      <c r="I178" s="55" t="n">
        <v>0</v>
      </c>
      <c r="J178" s="56" t="n">
        <v>1818.5</v>
      </c>
      <c r="K178" s="73" t="n">
        <v>-2</v>
      </c>
      <c r="L178" s="57" t="n">
        <v>46122.5</v>
      </c>
      <c r="M178" s="58" t="s">
        <v>24</v>
      </c>
    </row>
    <row r="179" customFormat="false" ht="15.75" hidden="false" customHeight="true" outlineLevel="0" collapsed="false">
      <c r="A179" s="95" t="n">
        <v>175</v>
      </c>
      <c r="B179" s="113" t="s">
        <v>503</v>
      </c>
      <c r="C179" s="49" t="s">
        <v>504</v>
      </c>
      <c r="D179" s="50" t="s">
        <v>297</v>
      </c>
      <c r="E179" s="51" t="s">
        <v>298</v>
      </c>
      <c r="F179" s="53" t="s">
        <v>219</v>
      </c>
      <c r="G179" s="54"/>
      <c r="H179" s="97" t="s">
        <v>370</v>
      </c>
      <c r="I179" s="55" t="n">
        <v>580</v>
      </c>
      <c r="J179" s="56"/>
      <c r="K179" s="73" t="n">
        <v>25</v>
      </c>
      <c r="L179" s="57" t="n">
        <v>46099.25</v>
      </c>
      <c r="M179" s="58" t="s">
        <v>24</v>
      </c>
    </row>
    <row r="180" customFormat="false" ht="15.75" hidden="false" customHeight="true" outlineLevel="0" collapsed="false">
      <c r="A180" s="95" t="n">
        <v>176</v>
      </c>
      <c r="B180" s="113" t="s">
        <v>503</v>
      </c>
      <c r="C180" s="49" t="s">
        <v>505</v>
      </c>
      <c r="D180" s="50" t="s">
        <v>491</v>
      </c>
      <c r="E180" s="51" t="s">
        <v>492</v>
      </c>
      <c r="F180" s="53" t="s">
        <v>219</v>
      </c>
      <c r="G180" s="54"/>
      <c r="H180" s="97" t="s">
        <v>370</v>
      </c>
      <c r="I180" s="55" t="n">
        <v>460</v>
      </c>
      <c r="J180" s="56"/>
      <c r="K180" s="73" t="n">
        <v>14</v>
      </c>
      <c r="L180" s="57" t="n">
        <v>46122.25</v>
      </c>
      <c r="M180" s="58" t="s">
        <v>24</v>
      </c>
    </row>
    <row r="181" customFormat="false" ht="15.75" hidden="false" customHeight="true" outlineLevel="0" collapsed="false">
      <c r="A181" s="95" t="n">
        <v>177</v>
      </c>
      <c r="B181" s="113" t="s">
        <v>503</v>
      </c>
      <c r="C181" s="49" t="s">
        <v>506</v>
      </c>
      <c r="D181" s="50" t="s">
        <v>507</v>
      </c>
      <c r="E181" s="51" t="s">
        <v>372</v>
      </c>
      <c r="F181" s="53" t="s">
        <v>219</v>
      </c>
      <c r="G181" s="54"/>
      <c r="H181" s="97" t="s">
        <v>370</v>
      </c>
      <c r="I181" s="55" t="n">
        <v>460</v>
      </c>
      <c r="J181" s="56"/>
      <c r="K181" s="73" t="n">
        <v>20</v>
      </c>
      <c r="L181" s="57" t="n">
        <v>46101.5416666667</v>
      </c>
      <c r="M181" s="58" t="s">
        <v>24</v>
      </c>
    </row>
    <row r="182" customFormat="false" ht="15.75" hidden="false" customHeight="true" outlineLevel="0" collapsed="false">
      <c r="A182" s="95" t="n">
        <v>178</v>
      </c>
      <c r="B182" s="113" t="s">
        <v>503</v>
      </c>
      <c r="C182" s="49" t="s">
        <v>508</v>
      </c>
      <c r="D182" s="50" t="s">
        <v>90</v>
      </c>
      <c r="E182" s="51" t="s">
        <v>377</v>
      </c>
      <c r="F182" s="53" t="s">
        <v>219</v>
      </c>
      <c r="G182" s="50" t="s">
        <v>23</v>
      </c>
      <c r="H182" s="97" t="s">
        <v>370</v>
      </c>
      <c r="I182" s="55" t="n">
        <v>460</v>
      </c>
      <c r="J182" s="56"/>
      <c r="K182" s="73" t="n">
        <v>5</v>
      </c>
      <c r="L182" s="57" t="n">
        <v>46122.2916666667</v>
      </c>
      <c r="M182" s="58" t="s">
        <v>24</v>
      </c>
    </row>
    <row r="183" customFormat="false" ht="15.75" hidden="false" customHeight="true" outlineLevel="0" collapsed="false">
      <c r="A183" s="95" t="n">
        <v>179</v>
      </c>
      <c r="B183" s="113" t="s">
        <v>503</v>
      </c>
      <c r="C183" s="49" t="s">
        <v>509</v>
      </c>
      <c r="D183" s="50" t="s">
        <v>84</v>
      </c>
      <c r="E183" s="51" t="s">
        <v>376</v>
      </c>
      <c r="F183" s="53" t="s">
        <v>219</v>
      </c>
      <c r="G183" s="54"/>
      <c r="H183" s="97" t="s">
        <v>370</v>
      </c>
      <c r="I183" s="55" t="n">
        <v>460</v>
      </c>
      <c r="J183" s="56"/>
      <c r="K183" s="73" t="n">
        <v>11</v>
      </c>
      <c r="L183" s="57" t="n">
        <v>46139.4166666667</v>
      </c>
      <c r="M183" s="58" t="s">
        <v>24</v>
      </c>
    </row>
    <row r="185" customFormat="false" ht="19.5" hidden="false" customHeight="true" outlineLevel="0" collapsed="false">
      <c r="A185" s="75" t="str">
        <f aca="false">SUBTOTAL(103,C5:C183)&amp;" of 179 tasks shown"</f>
        <v>179 of 179 tasks shown</v>
      </c>
      <c r="B185" s="75"/>
      <c r="C185" s="75"/>
      <c r="D185" s="75"/>
      <c r="E185" s="75"/>
      <c r="F185" s="75"/>
      <c r="G185" s="75"/>
      <c r="H185" s="75"/>
      <c r="I185" s="76" t="n">
        <f aca="false">SUBTOTAL(9,I5:I183)</f>
        <v>512648.1139</v>
      </c>
      <c r="J185" s="76" t="n">
        <f aca="false">SUBTOTAL(9,J5:J183)</f>
        <v>465575.16</v>
      </c>
      <c r="K185" s="77"/>
      <c r="L185" s="77"/>
      <c r="M185" s="77"/>
    </row>
  </sheetData>
  <autoFilter ref="A4:M183"/>
  <mergeCells count="4">
    <mergeCell ref="A1:M1"/>
    <mergeCell ref="A2:M2"/>
    <mergeCell ref="A3:M3"/>
    <mergeCell ref="A185:H185"/>
  </mergeCells>
  <conditionalFormatting sqref="F5:F183">
    <cfRule type="expression" priority="2" aboveAverage="0" equalAverage="0" bottom="0" percent="0" rank="0" text="" dxfId="95">
      <formula>$F5="REVISIT"</formula>
    </cfRule>
    <cfRule type="expression" priority="3" aboveAverage="0" equalAverage="0" bottom="0" percent="0" rank="0" text="" dxfId="96">
      <formula>$F5="SCHEDULED"</formula>
    </cfRule>
    <cfRule type="expression" priority="4" aboveAverage="0" equalAverage="0" bottom="0" percent="0" rank="0" text="" dxfId="97">
      <formula>$F5="READY"</formula>
    </cfRule>
    <cfRule type="expression" priority="5" aboveAverage="0" equalAverage="0" bottom="0" percent="0" rank="0" text="" dxfId="98">
      <formula>$F5="INPROGRESS"</formula>
    </cfRule>
    <cfRule type="expression" priority="6" aboveAverage="0" equalAverage="0" bottom="0" percent="0" rank="0" text="" dxfId="99">
      <formula>$F5="PERFORMED"</formula>
    </cfRule>
  </conditionalFormatting>
  <conditionalFormatting sqref="I5:I183">
    <cfRule type="dataBar" priority="7">
      <dataBar showValue="1" minLength="10" maxLength="90">
        <cfvo type="min" val="0"/>
        <cfvo type="max" val="0"/>
        <color rgb="FF334155"/>
      </dataBar>
      <extLst>
        <ext xmlns:x14="http://schemas.microsoft.com/office/spreadsheetml/2009/9/main" uri="{B025F937-C7B1-47D3-B67F-A62EFF666E3E}">
          <x14:id>{99C091D4-2444-4C69-9BDA-9FCA4218B3F1}</x14:id>
        </ext>
      </extLst>
    </cfRule>
  </conditionalFormatting>
  <conditionalFormatting sqref="K5:K183">
    <cfRule type="colorScale" priority="8">
      <colorScale>
        <cfvo type="num" val="0"/>
        <cfvo type="num" val="400"/>
        <color rgb="FFF0FDF4"/>
        <color rgb="FF7F1D1D"/>
      </colorScale>
    </cfRule>
  </conditionalFormatting>
  <dataValidations count="5">
    <dataValidation allowBlank="true" error="Select from list" errorStyle="stop" errorTitle="Invalid entry" operator="between" prompt="REVISIT, SCHEDULED, READY, INPROGRESS…" promptTitle="Select value" showDropDown="false" showErrorMessage="true" showInputMessage="true" sqref="F5:F183" type="list">
      <formula1>"REVISIT,SCHEDULED,READY,INPROGRESS,PERFORMED"</formula1>
      <formula2>0</formula2>
    </dataValidation>
    <dataValidation allowBlank="true" error="Select from list" errorStyle="stop" errorTitle="Invalid entry" operator="between" prompt="Bailey Arthur, Darren Brailey, Gordon Jenkins, Haider Al-Heyoury…" promptTitle="Select value" showDropDown="false" showErrorMessage="true" showInputMessage="true" sqref="G5:G183" type="list">
      <formula1>"Bailey Arthur,Darren Brailey,Gordon Jenkins,Haider Al-Heyoury,Hugo,Jimmy Kak,John Minai,Nick Hollingsworth,Nu Unasa,Ryan Robinson,Tim Hu"</formula1>
      <formula2>0</formula2>
    </dataValidation>
    <dataValidation allowBlank="true" error="Select from list" errorStyle="stop" errorTitle="Invalid entry" operator="between" prompt="CRITICAL, HIGH, MEDIUM, LOW" promptTitle="Select value" showDropDown="false" showErrorMessage="true" showInputMessage="true" sqref="B5:B183" type="list">
      <formula1>"CRITICAL,HIGH,MEDIUM,LOW"</formula1>
      <formula2>0</formula2>
    </dataValidation>
    <dataValidation allowBlank="true" error="Select from list" errorStyle="stop" errorTitle="Invalid entry" operator="between" prompt="Repair, Callout" promptTitle="Select value" showDropDown="false" showErrorMessage="true" showInputMessage="true" sqref="H5:H183" type="list">
      <formula1>"Repair,Callout"</formula1>
      <formula2>0</formula2>
    </dataValidation>
    <dataValidation allowBlank="true" error="Select from list" errorStyle="stop" errorTitle="Invalid entry" operator="between" prompt="Yes, No" promptTitle="Select value" showDropDown="false" showErrorMessage="true" showInputMessage="true" sqref="M5:M18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C091D4-2444-4C69-9BDA-9FCA4218B3F1}">
            <x14:dataBar minLength="10" maxLength="90" axisPosition="none" gradient="true">
              <x14:cfvo type="min"/>
              <x14:cfvo type="max"/>
              <x14:negativeFillColor rgb="FF334155"/>
              <x14:axisColor rgb="FF000000"/>
            </x14:dataBar>
          </x14:cfRule>
          <xm:sqref>I5:I183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5D04"/>
    <pageSetUpPr fitToPage="false"/>
  </sheetPr>
  <dimension ref="A1:J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32"/>
    <col collapsed="false" customWidth="true" hidden="false" outlineLevel="0" max="6" min="4" style="0" width="12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42"/>
  </cols>
  <sheetData>
    <row r="1" customFormat="false" ht="27.75" hidden="false" customHeight="true" outlineLevel="0" collapsed="false">
      <c r="A1" s="1" t="s">
        <v>510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2" t="s">
        <v>511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9.5" hidden="false" customHeight="true" outlineLevel="0" collapsed="false">
      <c r="A3" s="9" t="s">
        <v>7</v>
      </c>
      <c r="B3" s="9" t="s">
        <v>512</v>
      </c>
      <c r="C3" s="9" t="s">
        <v>9</v>
      </c>
      <c r="D3" s="9" t="s">
        <v>11</v>
      </c>
      <c r="E3" s="9" t="s">
        <v>513</v>
      </c>
      <c r="F3" s="9" t="s">
        <v>514</v>
      </c>
      <c r="G3" s="9" t="s">
        <v>515</v>
      </c>
      <c r="H3" s="9" t="s">
        <v>516</v>
      </c>
      <c r="I3" s="9" t="s">
        <v>517</v>
      </c>
      <c r="J3" s="9" t="s">
        <v>518</v>
      </c>
    </row>
    <row r="4" customFormat="false" ht="15.75" hidden="false" customHeight="true" outlineLevel="0" collapsed="false">
      <c r="A4" s="114" t="s">
        <v>519</v>
      </c>
      <c r="B4" s="115" t="s">
        <v>520</v>
      </c>
      <c r="C4" s="116" t="s">
        <v>521</v>
      </c>
      <c r="D4" s="117" t="s">
        <v>522</v>
      </c>
      <c r="E4" s="118" t="n">
        <v>45945</v>
      </c>
      <c r="F4" s="118" t="n">
        <v>45976</v>
      </c>
      <c r="G4" s="119" t="n">
        <v>74380.75</v>
      </c>
      <c r="H4" s="120" t="n">
        <v>0.279112</v>
      </c>
      <c r="I4" s="121" t="n">
        <v>81818.82</v>
      </c>
      <c r="J4" s="122" t="s">
        <v>523</v>
      </c>
    </row>
    <row r="5" customFormat="false" ht="15.75" hidden="false" customHeight="true" outlineLevel="0" collapsed="false">
      <c r="A5" s="123" t="s">
        <v>524</v>
      </c>
      <c r="B5" s="124" t="s">
        <v>525</v>
      </c>
      <c r="C5" s="125" t="s">
        <v>526</v>
      </c>
      <c r="D5" s="126" t="s">
        <v>527</v>
      </c>
      <c r="E5" s="127" t="n">
        <v>46066</v>
      </c>
      <c r="F5" s="127" t="n">
        <v>46094</v>
      </c>
      <c r="G5" s="128" t="n">
        <v>66371.14</v>
      </c>
      <c r="H5" s="129" t="n">
        <v>0.223405</v>
      </c>
      <c r="I5" s="130" t="n">
        <v>73008.25</v>
      </c>
      <c r="J5" s="131" t="s">
        <v>528</v>
      </c>
    </row>
    <row r="6" customFormat="false" ht="15.75" hidden="false" customHeight="true" outlineLevel="0" collapsed="false">
      <c r="A6" s="132" t="s">
        <v>529</v>
      </c>
      <c r="B6" s="133" t="s">
        <v>530</v>
      </c>
      <c r="C6" s="134" t="s">
        <v>531</v>
      </c>
      <c r="D6" s="135" t="s">
        <v>532</v>
      </c>
      <c r="E6" s="136" t="n">
        <v>46085</v>
      </c>
      <c r="F6" s="136" t="n">
        <v>46116</v>
      </c>
      <c r="G6" s="137" t="n">
        <v>49962.79</v>
      </c>
      <c r="H6" s="138" t="n">
        <v>0.253608</v>
      </c>
      <c r="I6" s="139" t="n">
        <v>54959.07</v>
      </c>
      <c r="J6" s="140" t="s">
        <v>533</v>
      </c>
    </row>
    <row r="7" customFormat="false" ht="15.75" hidden="false" customHeight="true" outlineLevel="0" collapsed="false">
      <c r="A7" s="114" t="s">
        <v>534</v>
      </c>
      <c r="B7" s="115" t="s">
        <v>535</v>
      </c>
      <c r="C7" s="116" t="s">
        <v>536</v>
      </c>
      <c r="D7" s="117" t="s">
        <v>522</v>
      </c>
      <c r="E7" s="118" t="n">
        <v>45901</v>
      </c>
      <c r="F7" s="118" t="n">
        <v>45931</v>
      </c>
      <c r="G7" s="119" t="n">
        <v>15538.63</v>
      </c>
      <c r="H7" s="141" t="n">
        <v>0.211082</v>
      </c>
      <c r="I7" s="121" t="n">
        <v>17092.49</v>
      </c>
      <c r="J7" s="122" t="s">
        <v>537</v>
      </c>
    </row>
    <row r="8" customFormat="false" ht="15.75" hidden="false" customHeight="true" outlineLevel="0" collapsed="false">
      <c r="A8" s="132" t="s">
        <v>538</v>
      </c>
      <c r="B8" s="133" t="s">
        <v>539</v>
      </c>
      <c r="C8" s="134" t="s">
        <v>160</v>
      </c>
      <c r="D8" s="135" t="s">
        <v>532</v>
      </c>
      <c r="E8" s="136" t="n">
        <v>46056</v>
      </c>
      <c r="F8" s="136" t="n">
        <v>46084</v>
      </c>
      <c r="G8" s="137" t="n">
        <v>13354.1</v>
      </c>
      <c r="H8" s="142" t="n">
        <v>0.172614</v>
      </c>
      <c r="I8" s="139" t="n">
        <v>14689.51</v>
      </c>
      <c r="J8" s="140" t="s">
        <v>540</v>
      </c>
    </row>
    <row r="9" customFormat="false" ht="15.75" hidden="false" customHeight="true" outlineLevel="0" collapsed="false">
      <c r="A9" s="114" t="s">
        <v>541</v>
      </c>
      <c r="B9" s="115" t="s">
        <v>542</v>
      </c>
      <c r="C9" s="116" t="s">
        <v>543</v>
      </c>
      <c r="D9" s="117" t="s">
        <v>522</v>
      </c>
      <c r="E9" s="118" t="n">
        <v>46069</v>
      </c>
      <c r="F9" s="118" t="n">
        <v>46097</v>
      </c>
      <c r="G9" s="119" t="n">
        <v>12618.23</v>
      </c>
      <c r="H9" s="141" t="n">
        <v>0.237265</v>
      </c>
      <c r="I9" s="121" t="n">
        <v>13880.14</v>
      </c>
      <c r="J9" s="122" t="s">
        <v>544</v>
      </c>
    </row>
    <row r="10" customFormat="false" ht="15.75" hidden="false" customHeight="true" outlineLevel="0" collapsed="false">
      <c r="A10" s="114" t="s">
        <v>545</v>
      </c>
      <c r="B10" s="115" t="s">
        <v>546</v>
      </c>
      <c r="C10" s="116" t="s">
        <v>547</v>
      </c>
      <c r="D10" s="117" t="s">
        <v>522</v>
      </c>
      <c r="E10" s="118" t="n">
        <v>46058</v>
      </c>
      <c r="F10" s="118" t="n">
        <v>46086</v>
      </c>
      <c r="G10" s="119" t="n">
        <v>11760.01</v>
      </c>
      <c r="H10" s="141" t="n">
        <v>0.200702</v>
      </c>
      <c r="I10" s="121" t="n">
        <v>12936.01</v>
      </c>
      <c r="J10" s="122" t="s">
        <v>548</v>
      </c>
    </row>
    <row r="11" customFormat="false" ht="15.75" hidden="false" customHeight="true" outlineLevel="0" collapsed="false">
      <c r="A11" s="114" t="s">
        <v>549</v>
      </c>
      <c r="B11" s="115" t="s">
        <v>550</v>
      </c>
      <c r="C11" s="116" t="s">
        <v>521</v>
      </c>
      <c r="D11" s="117" t="s">
        <v>522</v>
      </c>
      <c r="E11" s="118" t="n">
        <v>45908</v>
      </c>
      <c r="F11" s="118" t="n">
        <v>45938</v>
      </c>
      <c r="G11" s="119" t="n">
        <v>11410</v>
      </c>
      <c r="H11" s="141" t="n">
        <v>0.228133</v>
      </c>
      <c r="I11" s="121" t="n">
        <v>12551</v>
      </c>
      <c r="J11" s="122" t="s">
        <v>551</v>
      </c>
    </row>
    <row r="12" customFormat="false" ht="15.75" hidden="false" customHeight="true" outlineLevel="0" collapsed="false">
      <c r="A12" s="123" t="s">
        <v>552</v>
      </c>
      <c r="B12" s="124" t="s">
        <v>553</v>
      </c>
      <c r="C12" s="125" t="s">
        <v>531</v>
      </c>
      <c r="D12" s="126" t="s">
        <v>527</v>
      </c>
      <c r="E12" s="127" t="n">
        <v>46083</v>
      </c>
      <c r="F12" s="127" t="n">
        <v>46114</v>
      </c>
      <c r="G12" s="128" t="n">
        <v>8874.41</v>
      </c>
      <c r="H12" s="143" t="n">
        <v>0.290534</v>
      </c>
      <c r="I12" s="130" t="n">
        <v>9761.85</v>
      </c>
      <c r="J12" s="131" t="s">
        <v>554</v>
      </c>
    </row>
    <row r="13" customFormat="false" ht="15.75" hidden="false" customHeight="true" outlineLevel="0" collapsed="false">
      <c r="A13" s="114" t="s">
        <v>555</v>
      </c>
      <c r="B13" s="115" t="s">
        <v>247</v>
      </c>
      <c r="C13" s="116" t="s">
        <v>556</v>
      </c>
      <c r="D13" s="117" t="s">
        <v>522</v>
      </c>
      <c r="E13" s="118" t="n">
        <v>46108</v>
      </c>
      <c r="F13" s="118" t="n">
        <v>46139</v>
      </c>
      <c r="G13" s="119" t="n">
        <v>8840.02</v>
      </c>
      <c r="H13" s="141" t="n">
        <v>0.239821</v>
      </c>
      <c r="I13" s="121" t="n">
        <v>9724.02</v>
      </c>
      <c r="J13" s="122" t="s">
        <v>557</v>
      </c>
    </row>
    <row r="14" customFormat="false" ht="15.75" hidden="false" customHeight="true" outlineLevel="0" collapsed="false">
      <c r="A14" s="114" t="s">
        <v>558</v>
      </c>
      <c r="B14" s="115" t="s">
        <v>559</v>
      </c>
      <c r="C14" s="116" t="s">
        <v>560</v>
      </c>
      <c r="D14" s="117" t="s">
        <v>522</v>
      </c>
      <c r="E14" s="118" t="n">
        <v>46092</v>
      </c>
      <c r="F14" s="118" t="n">
        <v>46123</v>
      </c>
      <c r="G14" s="119" t="n">
        <v>6764.41</v>
      </c>
      <c r="H14" s="141" t="n">
        <v>0.205991</v>
      </c>
      <c r="I14" s="121" t="n">
        <v>7440.85</v>
      </c>
      <c r="J14" s="122" t="s">
        <v>561</v>
      </c>
    </row>
    <row r="15" customFormat="false" ht="15.75" hidden="false" customHeight="true" outlineLevel="0" collapsed="false">
      <c r="A15" s="132" t="s">
        <v>562</v>
      </c>
      <c r="B15" s="133" t="s">
        <v>563</v>
      </c>
      <c r="C15" s="134" t="s">
        <v>116</v>
      </c>
      <c r="D15" s="135" t="s">
        <v>532</v>
      </c>
      <c r="E15" s="136" t="n">
        <v>46114</v>
      </c>
      <c r="F15" s="136"/>
      <c r="G15" s="137" t="n">
        <v>6532.76</v>
      </c>
      <c r="H15" s="138" t="n">
        <v>0.296316</v>
      </c>
      <c r="I15" s="139" t="n">
        <v>7186.02</v>
      </c>
      <c r="J15" s="140" t="s">
        <v>564</v>
      </c>
    </row>
    <row r="16" customFormat="false" ht="15.75" hidden="false" customHeight="true" outlineLevel="0" collapsed="false">
      <c r="A16" s="114" t="s">
        <v>565</v>
      </c>
      <c r="B16" s="115" t="s">
        <v>566</v>
      </c>
      <c r="C16" s="116" t="s">
        <v>567</v>
      </c>
      <c r="D16" s="117" t="s">
        <v>522</v>
      </c>
      <c r="E16" s="118" t="n">
        <v>46085</v>
      </c>
      <c r="F16" s="118" t="n">
        <v>46116</v>
      </c>
      <c r="G16" s="119" t="n">
        <v>6396</v>
      </c>
      <c r="H16" s="141" t="n">
        <v>0.230769</v>
      </c>
      <c r="I16" s="121" t="n">
        <v>7035.6</v>
      </c>
      <c r="J16" s="122" t="s">
        <v>568</v>
      </c>
    </row>
    <row r="17" customFormat="false" ht="15.75" hidden="false" customHeight="true" outlineLevel="0" collapsed="false">
      <c r="A17" s="114" t="s">
        <v>569</v>
      </c>
      <c r="B17" s="115" t="s">
        <v>570</v>
      </c>
      <c r="C17" s="116" t="s">
        <v>33</v>
      </c>
      <c r="D17" s="117" t="s">
        <v>522</v>
      </c>
      <c r="E17" s="118" t="n">
        <v>46113</v>
      </c>
      <c r="F17" s="118" t="n">
        <v>46143</v>
      </c>
      <c r="G17" s="119" t="n">
        <v>5968.97</v>
      </c>
      <c r="H17" s="141" t="n">
        <v>0.165092</v>
      </c>
      <c r="I17" s="121" t="n">
        <v>6565.87</v>
      </c>
      <c r="J17" s="122" t="s">
        <v>571</v>
      </c>
    </row>
    <row r="18" customFormat="false" ht="15.75" hidden="false" customHeight="true" outlineLevel="0" collapsed="false">
      <c r="A18" s="114" t="s">
        <v>572</v>
      </c>
      <c r="B18" s="115" t="s">
        <v>573</v>
      </c>
      <c r="C18" s="116" t="s">
        <v>82</v>
      </c>
      <c r="D18" s="117" t="s">
        <v>522</v>
      </c>
      <c r="E18" s="118" t="n">
        <v>46076</v>
      </c>
      <c r="F18" s="118" t="n">
        <v>46104</v>
      </c>
      <c r="G18" s="119" t="n">
        <v>5714.83</v>
      </c>
      <c r="H18" s="141" t="n">
        <v>0.166924</v>
      </c>
      <c r="I18" s="121" t="n">
        <v>6286.31</v>
      </c>
      <c r="J18" s="122" t="s">
        <v>574</v>
      </c>
    </row>
    <row r="19" customFormat="false" ht="15.75" hidden="false" customHeight="true" outlineLevel="0" collapsed="false">
      <c r="A19" s="114" t="s">
        <v>575</v>
      </c>
      <c r="B19" s="115" t="s">
        <v>576</v>
      </c>
      <c r="C19" s="116" t="s">
        <v>577</v>
      </c>
      <c r="D19" s="117" t="s">
        <v>522</v>
      </c>
      <c r="E19" s="118" t="n">
        <v>46087</v>
      </c>
      <c r="F19" s="118" t="n">
        <v>46118</v>
      </c>
      <c r="G19" s="119" t="n">
        <v>5702.97</v>
      </c>
      <c r="H19" s="141" t="n">
        <v>0.231965</v>
      </c>
      <c r="I19" s="121" t="n">
        <v>6273.27</v>
      </c>
      <c r="J19" s="122" t="s">
        <v>578</v>
      </c>
    </row>
    <row r="20" customFormat="false" ht="15.75" hidden="false" customHeight="true" outlineLevel="0" collapsed="false">
      <c r="A20" s="114" t="s">
        <v>579</v>
      </c>
      <c r="B20" s="115" t="s">
        <v>580</v>
      </c>
      <c r="C20" s="116" t="s">
        <v>521</v>
      </c>
      <c r="D20" s="117" t="s">
        <v>522</v>
      </c>
      <c r="E20" s="118" t="n">
        <v>45909</v>
      </c>
      <c r="F20" s="118" t="n">
        <v>45939</v>
      </c>
      <c r="G20" s="119" t="n">
        <v>5410</v>
      </c>
      <c r="H20" s="141" t="n">
        <v>0.228096</v>
      </c>
      <c r="I20" s="121" t="n">
        <v>5951</v>
      </c>
      <c r="J20" s="122" t="s">
        <v>551</v>
      </c>
    </row>
    <row r="21" customFormat="false" ht="15.75" hidden="false" customHeight="true" outlineLevel="0" collapsed="false">
      <c r="A21" s="114" t="s">
        <v>581</v>
      </c>
      <c r="B21" s="115" t="s">
        <v>582</v>
      </c>
      <c r="C21" s="116" t="s">
        <v>521</v>
      </c>
      <c r="D21" s="117" t="s">
        <v>522</v>
      </c>
      <c r="E21" s="118" t="n">
        <v>46112</v>
      </c>
      <c r="F21" s="118" t="n">
        <v>46142</v>
      </c>
      <c r="G21" s="119" t="n">
        <v>5076.01</v>
      </c>
      <c r="H21" s="141" t="n">
        <v>0.168244</v>
      </c>
      <c r="I21" s="121" t="n">
        <v>5583.61</v>
      </c>
      <c r="J21" s="122" t="s">
        <v>583</v>
      </c>
    </row>
    <row r="22" customFormat="false" ht="15.75" hidden="false" customHeight="true" outlineLevel="0" collapsed="false">
      <c r="A22" s="114" t="s">
        <v>584</v>
      </c>
      <c r="B22" s="115" t="s">
        <v>585</v>
      </c>
      <c r="C22" s="116" t="s">
        <v>586</v>
      </c>
      <c r="D22" s="117" t="s">
        <v>522</v>
      </c>
      <c r="E22" s="118" t="n">
        <v>45868</v>
      </c>
      <c r="F22" s="118" t="n">
        <v>45899</v>
      </c>
      <c r="G22" s="119" t="n">
        <v>4420.01</v>
      </c>
      <c r="H22" s="141" t="n">
        <v>0.160635</v>
      </c>
      <c r="I22" s="121" t="n">
        <v>4862.01</v>
      </c>
      <c r="J22" s="122" t="s">
        <v>587</v>
      </c>
    </row>
    <row r="23" customFormat="false" ht="15.75" hidden="false" customHeight="true" outlineLevel="0" collapsed="false">
      <c r="A23" s="114" t="s">
        <v>588</v>
      </c>
      <c r="B23" s="115" t="s">
        <v>589</v>
      </c>
      <c r="C23" s="116" t="s">
        <v>521</v>
      </c>
      <c r="D23" s="117" t="s">
        <v>522</v>
      </c>
      <c r="E23" s="118" t="n">
        <v>45908</v>
      </c>
      <c r="F23" s="118" t="n">
        <v>45938</v>
      </c>
      <c r="G23" s="119" t="n">
        <v>4220</v>
      </c>
      <c r="H23" s="141" t="n">
        <v>0.229147</v>
      </c>
      <c r="I23" s="121" t="n">
        <v>4642</v>
      </c>
      <c r="J23" s="122" t="s">
        <v>551</v>
      </c>
    </row>
    <row r="24" customFormat="false" ht="15.75" hidden="false" customHeight="true" outlineLevel="0" collapsed="false">
      <c r="A24" s="114" t="s">
        <v>590</v>
      </c>
      <c r="B24" s="115" t="s">
        <v>591</v>
      </c>
      <c r="C24" s="116" t="s">
        <v>592</v>
      </c>
      <c r="D24" s="117" t="s">
        <v>522</v>
      </c>
      <c r="E24" s="118" t="n">
        <v>46092</v>
      </c>
      <c r="F24" s="118" t="n">
        <v>46123</v>
      </c>
      <c r="G24" s="119" t="n">
        <v>4189.9</v>
      </c>
      <c r="H24" s="141" t="n">
        <v>0.220757</v>
      </c>
      <c r="I24" s="121" t="n">
        <v>4608.89</v>
      </c>
      <c r="J24" s="122" t="s">
        <v>593</v>
      </c>
    </row>
    <row r="25" customFormat="false" ht="15.75" hidden="false" customHeight="true" outlineLevel="0" collapsed="false">
      <c r="A25" s="114" t="s">
        <v>594</v>
      </c>
      <c r="B25" s="115" t="s">
        <v>595</v>
      </c>
      <c r="C25" s="116" t="s">
        <v>531</v>
      </c>
      <c r="D25" s="117" t="s">
        <v>522</v>
      </c>
      <c r="E25" s="118" t="n">
        <v>45902</v>
      </c>
      <c r="F25" s="118" t="n">
        <v>45932</v>
      </c>
      <c r="G25" s="119" t="n">
        <v>3930</v>
      </c>
      <c r="H25" s="141" t="n">
        <v>0.233842</v>
      </c>
      <c r="I25" s="121" t="n">
        <v>4323</v>
      </c>
      <c r="J25" s="122" t="s">
        <v>551</v>
      </c>
    </row>
    <row r="26" customFormat="false" ht="15.75" hidden="false" customHeight="true" outlineLevel="0" collapsed="false">
      <c r="A26" s="132" t="s">
        <v>596</v>
      </c>
      <c r="B26" s="133" t="s">
        <v>597</v>
      </c>
      <c r="C26" s="134" t="s">
        <v>598</v>
      </c>
      <c r="D26" s="135" t="s">
        <v>532</v>
      </c>
      <c r="E26" s="136" t="n">
        <v>46059</v>
      </c>
      <c r="F26" s="136" t="n">
        <v>46087</v>
      </c>
      <c r="G26" s="137" t="n">
        <v>3882.69</v>
      </c>
      <c r="H26" s="142" t="n">
        <v>0.222529</v>
      </c>
      <c r="I26" s="139" t="n">
        <v>4270.96</v>
      </c>
      <c r="J26" s="140" t="s">
        <v>599</v>
      </c>
    </row>
    <row r="27" customFormat="false" ht="15.75" hidden="false" customHeight="true" outlineLevel="0" collapsed="false">
      <c r="A27" s="114" t="s">
        <v>600</v>
      </c>
      <c r="B27" s="115" t="s">
        <v>601</v>
      </c>
      <c r="C27" s="116" t="s">
        <v>521</v>
      </c>
      <c r="D27" s="117" t="s">
        <v>522</v>
      </c>
      <c r="E27" s="118" t="n">
        <v>45908</v>
      </c>
      <c r="F27" s="118" t="n">
        <v>45938</v>
      </c>
      <c r="G27" s="119" t="n">
        <v>3820</v>
      </c>
      <c r="H27" s="141" t="n">
        <v>0.229581</v>
      </c>
      <c r="I27" s="121" t="n">
        <v>4202</v>
      </c>
      <c r="J27" s="122" t="s">
        <v>551</v>
      </c>
    </row>
    <row r="28" customFormat="false" ht="15.75" hidden="false" customHeight="true" outlineLevel="0" collapsed="false">
      <c r="A28" s="132" t="s">
        <v>602</v>
      </c>
      <c r="B28" s="133" t="s">
        <v>603</v>
      </c>
      <c r="C28" s="134" t="s">
        <v>531</v>
      </c>
      <c r="D28" s="135" t="s">
        <v>532</v>
      </c>
      <c r="E28" s="136" t="n">
        <v>46083</v>
      </c>
      <c r="F28" s="136" t="n">
        <v>46114</v>
      </c>
      <c r="G28" s="137" t="n">
        <v>3754.99</v>
      </c>
      <c r="H28" s="142" t="n">
        <v>0.233127</v>
      </c>
      <c r="I28" s="139" t="n">
        <v>4130.49</v>
      </c>
      <c r="J28" s="140" t="s">
        <v>604</v>
      </c>
    </row>
    <row r="29" customFormat="false" ht="15.75" hidden="false" customHeight="true" outlineLevel="0" collapsed="false">
      <c r="A29" s="132" t="s">
        <v>605</v>
      </c>
      <c r="B29" s="133" t="s">
        <v>389</v>
      </c>
      <c r="C29" s="134" t="s">
        <v>606</v>
      </c>
      <c r="D29" s="135" t="s">
        <v>532</v>
      </c>
      <c r="E29" s="136" t="n">
        <v>46113</v>
      </c>
      <c r="F29" s="136" t="n">
        <v>46143</v>
      </c>
      <c r="G29" s="137" t="n">
        <v>3140</v>
      </c>
      <c r="H29" s="142" t="n">
        <v>0.225318</v>
      </c>
      <c r="I29" s="139" t="n">
        <v>3454</v>
      </c>
      <c r="J29" s="140" t="s">
        <v>607</v>
      </c>
    </row>
    <row r="30" customFormat="false" ht="15.75" hidden="false" customHeight="true" outlineLevel="0" collapsed="false">
      <c r="A30" s="132" t="s">
        <v>608</v>
      </c>
      <c r="B30" s="133" t="s">
        <v>520</v>
      </c>
      <c r="C30" s="134" t="s">
        <v>521</v>
      </c>
      <c r="D30" s="135" t="s">
        <v>532</v>
      </c>
      <c r="E30" s="136" t="n">
        <v>46031</v>
      </c>
      <c r="F30" s="136" t="n">
        <v>46062</v>
      </c>
      <c r="G30" s="137" t="n">
        <v>2988.2</v>
      </c>
      <c r="H30" s="142" t="n">
        <v>0.203199</v>
      </c>
      <c r="I30" s="139" t="n">
        <v>3287.02</v>
      </c>
      <c r="J30" s="140" t="s">
        <v>609</v>
      </c>
    </row>
    <row r="31" customFormat="false" ht="15.75" hidden="false" customHeight="true" outlineLevel="0" collapsed="false">
      <c r="A31" s="132" t="s">
        <v>610</v>
      </c>
      <c r="B31" s="133" t="s">
        <v>611</v>
      </c>
      <c r="C31" s="134" t="s">
        <v>612</v>
      </c>
      <c r="D31" s="135" t="s">
        <v>532</v>
      </c>
      <c r="E31" s="136" t="n">
        <v>46077</v>
      </c>
      <c r="F31" s="136" t="n">
        <v>46105</v>
      </c>
      <c r="G31" s="137" t="n">
        <v>2941.08</v>
      </c>
      <c r="H31" s="142" t="n">
        <v>0.242285</v>
      </c>
      <c r="I31" s="139" t="n">
        <v>3235.18</v>
      </c>
      <c r="J31" s="140" t="s">
        <v>613</v>
      </c>
    </row>
    <row r="32" customFormat="false" ht="15.75" hidden="false" customHeight="true" outlineLevel="0" collapsed="false">
      <c r="A32" s="114" t="s">
        <v>614</v>
      </c>
      <c r="B32" s="115" t="s">
        <v>520</v>
      </c>
      <c r="C32" s="116" t="s">
        <v>521</v>
      </c>
      <c r="D32" s="117" t="s">
        <v>522</v>
      </c>
      <c r="E32" s="118" t="n">
        <v>45930</v>
      </c>
      <c r="F32" s="118" t="n">
        <v>45960</v>
      </c>
      <c r="G32" s="119" t="n">
        <v>2903.42</v>
      </c>
      <c r="H32" s="141" t="n">
        <v>0.179798</v>
      </c>
      <c r="I32" s="121" t="n">
        <v>3193.76</v>
      </c>
      <c r="J32" s="122" t="s">
        <v>615</v>
      </c>
    </row>
    <row r="33" customFormat="false" ht="15.75" hidden="false" customHeight="true" outlineLevel="0" collapsed="false">
      <c r="A33" s="114" t="s">
        <v>616</v>
      </c>
      <c r="B33" s="115" t="s">
        <v>617</v>
      </c>
      <c r="C33" s="116" t="s">
        <v>618</v>
      </c>
      <c r="D33" s="117" t="s">
        <v>522</v>
      </c>
      <c r="E33" s="118" t="n">
        <v>46112</v>
      </c>
      <c r="F33" s="118" t="n">
        <v>46142</v>
      </c>
      <c r="G33" s="119" t="n">
        <v>2849.01</v>
      </c>
      <c r="H33" s="141" t="n">
        <v>0.196212</v>
      </c>
      <c r="I33" s="121" t="n">
        <v>3133.91</v>
      </c>
      <c r="J33" s="122" t="s">
        <v>619</v>
      </c>
    </row>
    <row r="34" customFormat="false" ht="15.75" hidden="false" customHeight="true" outlineLevel="0" collapsed="false">
      <c r="A34" s="114" t="s">
        <v>620</v>
      </c>
      <c r="B34" s="115" t="s">
        <v>621</v>
      </c>
      <c r="C34" s="116" t="s">
        <v>521</v>
      </c>
      <c r="D34" s="117" t="s">
        <v>522</v>
      </c>
      <c r="E34" s="118" t="n">
        <v>46051</v>
      </c>
      <c r="F34" s="118" t="n">
        <v>46081</v>
      </c>
      <c r="G34" s="119" t="n">
        <v>2700</v>
      </c>
      <c r="H34" s="141" t="n">
        <v>0.193704</v>
      </c>
      <c r="I34" s="121" t="n">
        <v>2970</v>
      </c>
      <c r="J34" s="122" t="s">
        <v>622</v>
      </c>
    </row>
    <row r="35" customFormat="false" ht="15.75" hidden="false" customHeight="true" outlineLevel="0" collapsed="false">
      <c r="A35" s="114" t="s">
        <v>623</v>
      </c>
      <c r="B35" s="115" t="s">
        <v>624</v>
      </c>
      <c r="C35" s="116" t="s">
        <v>82</v>
      </c>
      <c r="D35" s="117" t="s">
        <v>522</v>
      </c>
      <c r="E35" s="118" t="n">
        <v>46097</v>
      </c>
      <c r="F35" s="118" t="n">
        <v>46128</v>
      </c>
      <c r="G35" s="119" t="n">
        <v>2696</v>
      </c>
      <c r="H35" s="141" t="n">
        <v>0.208828</v>
      </c>
      <c r="I35" s="121" t="n">
        <v>2965.6</v>
      </c>
      <c r="J35" s="122" t="s">
        <v>625</v>
      </c>
    </row>
    <row r="36" customFormat="false" ht="15.75" hidden="false" customHeight="true" outlineLevel="0" collapsed="false">
      <c r="A36" s="114" t="s">
        <v>626</v>
      </c>
      <c r="B36" s="115" t="s">
        <v>627</v>
      </c>
      <c r="C36" s="116" t="s">
        <v>628</v>
      </c>
      <c r="D36" s="117" t="s">
        <v>522</v>
      </c>
      <c r="E36" s="118" t="n">
        <v>46112</v>
      </c>
      <c r="F36" s="118" t="n">
        <v>46142</v>
      </c>
      <c r="G36" s="119" t="n">
        <v>2622</v>
      </c>
      <c r="H36" s="141" t="n">
        <v>0.202899</v>
      </c>
      <c r="I36" s="121" t="n">
        <v>2884.2</v>
      </c>
      <c r="J36" s="122" t="s">
        <v>629</v>
      </c>
    </row>
    <row r="37" customFormat="false" ht="15.75" hidden="false" customHeight="true" outlineLevel="0" collapsed="false">
      <c r="A37" s="114" t="s">
        <v>630</v>
      </c>
      <c r="B37" s="115" t="s">
        <v>631</v>
      </c>
      <c r="C37" s="116" t="s">
        <v>577</v>
      </c>
      <c r="D37" s="117" t="s">
        <v>522</v>
      </c>
      <c r="E37" s="118" t="n">
        <v>46087</v>
      </c>
      <c r="F37" s="118" t="n">
        <v>46118</v>
      </c>
      <c r="G37" s="119" t="n">
        <v>2602.96</v>
      </c>
      <c r="H37" s="141" t="n">
        <v>0.159211</v>
      </c>
      <c r="I37" s="121" t="n">
        <v>2863.26</v>
      </c>
      <c r="J37" s="122" t="s">
        <v>578</v>
      </c>
    </row>
    <row r="38" customFormat="false" ht="15.75" hidden="false" customHeight="true" outlineLevel="0" collapsed="false">
      <c r="A38" s="114" t="s">
        <v>632</v>
      </c>
      <c r="B38" s="115" t="s">
        <v>633</v>
      </c>
      <c r="C38" s="116" t="s">
        <v>634</v>
      </c>
      <c r="D38" s="117" t="s">
        <v>522</v>
      </c>
      <c r="E38" s="118" t="n">
        <v>46052</v>
      </c>
      <c r="F38" s="118" t="n">
        <v>46081</v>
      </c>
      <c r="G38" s="119" t="n">
        <v>2404.4</v>
      </c>
      <c r="H38" s="141" t="n">
        <v>0.211862</v>
      </c>
      <c r="I38" s="121" t="n">
        <v>2644.84</v>
      </c>
      <c r="J38" s="122" t="s">
        <v>528</v>
      </c>
    </row>
    <row r="39" customFormat="false" ht="15.75" hidden="false" customHeight="true" outlineLevel="0" collapsed="false">
      <c r="A39" s="132" t="s">
        <v>635</v>
      </c>
      <c r="B39" s="133" t="s">
        <v>636</v>
      </c>
      <c r="C39" s="134" t="s">
        <v>531</v>
      </c>
      <c r="D39" s="135" t="s">
        <v>532</v>
      </c>
      <c r="E39" s="136" t="n">
        <v>46113</v>
      </c>
      <c r="F39" s="136" t="n">
        <v>46143</v>
      </c>
      <c r="G39" s="137" t="n">
        <v>2390</v>
      </c>
      <c r="H39" s="144" t="n">
        <v>0.142259</v>
      </c>
      <c r="I39" s="139" t="n">
        <v>2629</v>
      </c>
      <c r="J39" s="140" t="s">
        <v>637</v>
      </c>
    </row>
    <row r="40" customFormat="false" ht="15.75" hidden="false" customHeight="true" outlineLevel="0" collapsed="false">
      <c r="A40" s="114" t="s">
        <v>638</v>
      </c>
      <c r="B40" s="115" t="s">
        <v>263</v>
      </c>
      <c r="C40" s="116" t="s">
        <v>264</v>
      </c>
      <c r="D40" s="117" t="s">
        <v>522</v>
      </c>
      <c r="E40" s="118" t="n">
        <v>45916</v>
      </c>
      <c r="F40" s="118" t="n">
        <v>46203</v>
      </c>
      <c r="G40" s="119" t="n">
        <v>2380</v>
      </c>
      <c r="H40" s="120" t="n">
        <v>0.290336</v>
      </c>
      <c r="I40" s="121" t="n">
        <v>2618</v>
      </c>
      <c r="J40" s="122" t="s">
        <v>639</v>
      </c>
    </row>
    <row r="41" customFormat="false" ht="15.75" hidden="false" customHeight="true" outlineLevel="0" collapsed="false">
      <c r="A41" s="132" t="s">
        <v>640</v>
      </c>
      <c r="B41" s="133" t="s">
        <v>641</v>
      </c>
      <c r="C41" s="134" t="s">
        <v>577</v>
      </c>
      <c r="D41" s="135" t="s">
        <v>532</v>
      </c>
      <c r="E41" s="136" t="n">
        <v>46052</v>
      </c>
      <c r="F41" s="136" t="n">
        <v>46081</v>
      </c>
      <c r="G41" s="137" t="n">
        <v>2330.01</v>
      </c>
      <c r="H41" s="142" t="n">
        <v>0.239917</v>
      </c>
      <c r="I41" s="139" t="n">
        <v>2563.01</v>
      </c>
      <c r="J41" s="140" t="s">
        <v>642</v>
      </c>
    </row>
    <row r="42" customFormat="false" ht="15.75" hidden="false" customHeight="true" outlineLevel="0" collapsed="false">
      <c r="A42" s="132" t="s">
        <v>643</v>
      </c>
      <c r="B42" s="133" t="s">
        <v>300</v>
      </c>
      <c r="C42" s="134" t="s">
        <v>644</v>
      </c>
      <c r="D42" s="135" t="s">
        <v>532</v>
      </c>
      <c r="E42" s="136" t="n">
        <v>46080</v>
      </c>
      <c r="F42" s="136" t="n">
        <v>46108</v>
      </c>
      <c r="G42" s="137" t="n">
        <v>2261.92</v>
      </c>
      <c r="H42" s="142" t="n">
        <v>0.232033</v>
      </c>
      <c r="I42" s="139" t="n">
        <v>2488.11</v>
      </c>
      <c r="J42" s="140" t="s">
        <v>645</v>
      </c>
    </row>
    <row r="43" customFormat="false" ht="15.75" hidden="false" customHeight="true" outlineLevel="0" collapsed="false">
      <c r="A43" s="123" t="s">
        <v>646</v>
      </c>
      <c r="B43" s="124" t="s">
        <v>647</v>
      </c>
      <c r="C43" s="125" t="s">
        <v>648</v>
      </c>
      <c r="D43" s="126" t="s">
        <v>527</v>
      </c>
      <c r="E43" s="127" t="n">
        <v>45964</v>
      </c>
      <c r="F43" s="127" t="n">
        <v>45994</v>
      </c>
      <c r="G43" s="128" t="n">
        <v>2227</v>
      </c>
      <c r="H43" s="129" t="n">
        <v>0.192905</v>
      </c>
      <c r="I43" s="130" t="n">
        <v>2449.7</v>
      </c>
      <c r="J43" s="131" t="s">
        <v>649</v>
      </c>
    </row>
    <row r="44" customFormat="false" ht="15.75" hidden="false" customHeight="true" outlineLevel="0" collapsed="false">
      <c r="A44" s="114" t="s">
        <v>650</v>
      </c>
      <c r="B44" s="115" t="s">
        <v>651</v>
      </c>
      <c r="C44" s="116" t="s">
        <v>531</v>
      </c>
      <c r="D44" s="117" t="s">
        <v>522</v>
      </c>
      <c r="E44" s="118" t="n">
        <v>46098</v>
      </c>
      <c r="F44" s="118" t="n">
        <v>46129</v>
      </c>
      <c r="G44" s="119" t="n">
        <v>2200</v>
      </c>
      <c r="H44" s="141" t="n">
        <v>0.177273</v>
      </c>
      <c r="I44" s="121" t="n">
        <v>2420</v>
      </c>
      <c r="J44" s="122" t="s">
        <v>652</v>
      </c>
    </row>
    <row r="45" customFormat="false" ht="15.75" hidden="false" customHeight="true" outlineLevel="0" collapsed="false">
      <c r="A45" s="114" t="s">
        <v>653</v>
      </c>
      <c r="B45" s="115" t="s">
        <v>553</v>
      </c>
      <c r="C45" s="116" t="s">
        <v>531</v>
      </c>
      <c r="D45" s="117" t="s">
        <v>522</v>
      </c>
      <c r="E45" s="118" t="n">
        <v>46104</v>
      </c>
      <c r="F45" s="118" t="n">
        <v>46135</v>
      </c>
      <c r="G45" s="119" t="n">
        <v>2180.8</v>
      </c>
      <c r="H45" s="141" t="n">
        <v>0.169112</v>
      </c>
      <c r="I45" s="121" t="n">
        <v>2398.88</v>
      </c>
      <c r="J45" s="122" t="s">
        <v>654</v>
      </c>
    </row>
    <row r="46" customFormat="false" ht="15.75" hidden="false" customHeight="true" outlineLevel="0" collapsed="false">
      <c r="A46" s="114" t="s">
        <v>655</v>
      </c>
      <c r="B46" s="115" t="s">
        <v>656</v>
      </c>
      <c r="C46" s="116" t="s">
        <v>531</v>
      </c>
      <c r="D46" s="117" t="s">
        <v>522</v>
      </c>
      <c r="E46" s="118" t="n">
        <v>45902</v>
      </c>
      <c r="F46" s="118" t="n">
        <v>45932</v>
      </c>
      <c r="G46" s="119" t="n">
        <v>2124</v>
      </c>
      <c r="H46" s="141" t="n">
        <v>0.229755</v>
      </c>
      <c r="I46" s="121" t="n">
        <v>2336.4</v>
      </c>
      <c r="J46" s="122" t="s">
        <v>551</v>
      </c>
    </row>
    <row r="47" customFormat="false" ht="15.75" hidden="false" customHeight="true" outlineLevel="0" collapsed="false">
      <c r="A47" s="114" t="s">
        <v>657</v>
      </c>
      <c r="B47" s="115" t="s">
        <v>658</v>
      </c>
      <c r="C47" s="116" t="s">
        <v>531</v>
      </c>
      <c r="D47" s="117" t="s">
        <v>522</v>
      </c>
      <c r="E47" s="118" t="n">
        <v>45902</v>
      </c>
      <c r="F47" s="118" t="n">
        <v>45932</v>
      </c>
      <c r="G47" s="119" t="n">
        <v>2094</v>
      </c>
      <c r="H47" s="141" t="n">
        <v>0.2383</v>
      </c>
      <c r="I47" s="121" t="n">
        <v>2303.4</v>
      </c>
      <c r="J47" s="122" t="s">
        <v>551</v>
      </c>
    </row>
    <row r="48" customFormat="false" ht="15.75" hidden="false" customHeight="true" outlineLevel="0" collapsed="false">
      <c r="A48" s="114" t="s">
        <v>659</v>
      </c>
      <c r="B48" s="115" t="s">
        <v>660</v>
      </c>
      <c r="C48" s="116" t="s">
        <v>661</v>
      </c>
      <c r="D48" s="117" t="s">
        <v>522</v>
      </c>
      <c r="E48" s="118" t="n">
        <v>46112</v>
      </c>
      <c r="F48" s="118" t="n">
        <v>46142</v>
      </c>
      <c r="G48" s="119" t="n">
        <v>2084.01</v>
      </c>
      <c r="H48" s="141" t="n">
        <v>0.206818</v>
      </c>
      <c r="I48" s="121" t="n">
        <v>2292.41</v>
      </c>
      <c r="J48" s="122" t="s">
        <v>613</v>
      </c>
    </row>
    <row r="49" customFormat="false" ht="15.75" hidden="false" customHeight="true" outlineLevel="0" collapsed="false">
      <c r="A49" s="114" t="s">
        <v>662</v>
      </c>
      <c r="B49" s="115" t="s">
        <v>663</v>
      </c>
      <c r="C49" s="116" t="s">
        <v>664</v>
      </c>
      <c r="D49" s="117" t="s">
        <v>522</v>
      </c>
      <c r="E49" s="118" t="n">
        <v>46098</v>
      </c>
      <c r="F49" s="118" t="n">
        <v>46129</v>
      </c>
      <c r="G49" s="119" t="n">
        <v>2082.54</v>
      </c>
      <c r="H49" s="141" t="n">
        <v>0.23843</v>
      </c>
      <c r="I49" s="121" t="n">
        <v>2290.79</v>
      </c>
      <c r="J49" s="122" t="s">
        <v>625</v>
      </c>
    </row>
    <row r="50" customFormat="false" ht="15.75" hidden="false" customHeight="true" outlineLevel="0" collapsed="false">
      <c r="A50" s="132" t="s">
        <v>665</v>
      </c>
      <c r="B50" s="133" t="s">
        <v>666</v>
      </c>
      <c r="C50" s="134" t="s">
        <v>612</v>
      </c>
      <c r="D50" s="135" t="s">
        <v>532</v>
      </c>
      <c r="E50" s="136" t="n">
        <v>46086</v>
      </c>
      <c r="F50" s="136" t="n">
        <v>46117</v>
      </c>
      <c r="G50" s="137" t="n">
        <v>2080.01</v>
      </c>
      <c r="H50" s="142" t="n">
        <v>0.192312</v>
      </c>
      <c r="I50" s="139" t="n">
        <v>2288.01</v>
      </c>
      <c r="J50" s="140" t="s">
        <v>667</v>
      </c>
    </row>
    <row r="51" customFormat="false" ht="15.75" hidden="false" customHeight="true" outlineLevel="0" collapsed="false">
      <c r="A51" s="114" t="s">
        <v>668</v>
      </c>
      <c r="B51" s="115" t="s">
        <v>669</v>
      </c>
      <c r="C51" s="116" t="s">
        <v>531</v>
      </c>
      <c r="D51" s="117" t="s">
        <v>522</v>
      </c>
      <c r="E51" s="118" t="n">
        <v>46098</v>
      </c>
      <c r="F51" s="118" t="n">
        <v>46129</v>
      </c>
      <c r="G51" s="119" t="n">
        <v>2052.79</v>
      </c>
      <c r="H51" s="141" t="n">
        <v>0.199908</v>
      </c>
      <c r="I51" s="121" t="n">
        <v>2258.07</v>
      </c>
      <c r="J51" s="122" t="s">
        <v>670</v>
      </c>
    </row>
    <row r="52" customFormat="false" ht="15.75" hidden="false" customHeight="true" outlineLevel="0" collapsed="false">
      <c r="A52" s="132" t="s">
        <v>671</v>
      </c>
      <c r="B52" s="133" t="s">
        <v>672</v>
      </c>
      <c r="C52" s="134" t="s">
        <v>531</v>
      </c>
      <c r="D52" s="135" t="s">
        <v>532</v>
      </c>
      <c r="E52" s="136" t="n">
        <v>46038</v>
      </c>
      <c r="F52" s="136" t="n">
        <v>46069</v>
      </c>
      <c r="G52" s="137" t="n">
        <v>2030</v>
      </c>
      <c r="H52" s="142" t="n">
        <v>0.20197</v>
      </c>
      <c r="I52" s="139" t="n">
        <v>2233</v>
      </c>
      <c r="J52" s="140" t="s">
        <v>673</v>
      </c>
    </row>
    <row r="53" customFormat="false" ht="15.75" hidden="false" customHeight="true" outlineLevel="0" collapsed="false">
      <c r="A53" s="114" t="s">
        <v>674</v>
      </c>
      <c r="B53" s="115" t="s">
        <v>675</v>
      </c>
      <c r="C53" s="116" t="s">
        <v>676</v>
      </c>
      <c r="D53" s="117" t="s">
        <v>522</v>
      </c>
      <c r="E53" s="118" t="n">
        <v>45898</v>
      </c>
      <c r="F53" s="118" t="n">
        <v>45929</v>
      </c>
      <c r="G53" s="119" t="n">
        <v>1870</v>
      </c>
      <c r="H53" s="141" t="n">
        <v>0.174332</v>
      </c>
      <c r="I53" s="121" t="n">
        <v>2057</v>
      </c>
      <c r="J53" s="122" t="s">
        <v>677</v>
      </c>
    </row>
    <row r="54" customFormat="false" ht="15.75" hidden="false" customHeight="true" outlineLevel="0" collapsed="false">
      <c r="A54" s="114" t="s">
        <v>678</v>
      </c>
      <c r="B54" s="115" t="s">
        <v>679</v>
      </c>
      <c r="C54" s="116" t="s">
        <v>680</v>
      </c>
      <c r="D54" s="117" t="s">
        <v>522</v>
      </c>
      <c r="E54" s="118" t="n">
        <v>45953</v>
      </c>
      <c r="F54" s="118" t="n">
        <v>45984</v>
      </c>
      <c r="G54" s="119" t="n">
        <v>1800</v>
      </c>
      <c r="H54" s="145" t="n">
        <v>0.111111</v>
      </c>
      <c r="I54" s="121" t="n">
        <v>1980</v>
      </c>
      <c r="J54" s="122" t="s">
        <v>681</v>
      </c>
    </row>
    <row r="55" customFormat="false" ht="15.75" hidden="false" customHeight="true" outlineLevel="0" collapsed="false">
      <c r="A55" s="114" t="s">
        <v>682</v>
      </c>
      <c r="B55" s="115" t="s">
        <v>683</v>
      </c>
      <c r="C55" s="116" t="s">
        <v>222</v>
      </c>
      <c r="D55" s="117" t="s">
        <v>522</v>
      </c>
      <c r="E55" s="118" t="n">
        <v>45919</v>
      </c>
      <c r="F55" s="118" t="n">
        <v>45949</v>
      </c>
      <c r="G55" s="119" t="n">
        <v>1712.5</v>
      </c>
      <c r="H55" s="141" t="n">
        <v>0.223358</v>
      </c>
      <c r="I55" s="121" t="n">
        <v>1883.75</v>
      </c>
      <c r="J55" s="122" t="s">
        <v>615</v>
      </c>
    </row>
    <row r="56" customFormat="false" ht="15.75" hidden="false" customHeight="true" outlineLevel="0" collapsed="false">
      <c r="A56" s="132" t="s">
        <v>684</v>
      </c>
      <c r="B56" s="133" t="s">
        <v>685</v>
      </c>
      <c r="C56" s="134" t="s">
        <v>686</v>
      </c>
      <c r="D56" s="135" t="s">
        <v>532</v>
      </c>
      <c r="E56" s="136" t="n">
        <v>46086</v>
      </c>
      <c r="F56" s="136" t="n">
        <v>46117</v>
      </c>
      <c r="G56" s="137" t="n">
        <v>1696.48</v>
      </c>
      <c r="H56" s="138" t="n">
        <v>0.260009</v>
      </c>
      <c r="I56" s="139" t="n">
        <v>1866.13</v>
      </c>
      <c r="J56" s="140" t="s">
        <v>687</v>
      </c>
    </row>
    <row r="57" customFormat="false" ht="15.75" hidden="false" customHeight="true" outlineLevel="0" collapsed="false">
      <c r="A57" s="132" t="s">
        <v>688</v>
      </c>
      <c r="B57" s="133" t="s">
        <v>689</v>
      </c>
      <c r="C57" s="134" t="s">
        <v>521</v>
      </c>
      <c r="D57" s="135" t="s">
        <v>532</v>
      </c>
      <c r="E57" s="136" t="n">
        <v>46073</v>
      </c>
      <c r="F57" s="136" t="n">
        <v>46101</v>
      </c>
      <c r="G57" s="137" t="n">
        <v>1670.3</v>
      </c>
      <c r="H57" s="142" t="n">
        <v>0.249716</v>
      </c>
      <c r="I57" s="139" t="n">
        <v>1837.33</v>
      </c>
      <c r="J57" s="140" t="s">
        <v>690</v>
      </c>
    </row>
    <row r="58" customFormat="false" ht="15.75" hidden="false" customHeight="true" outlineLevel="0" collapsed="false">
      <c r="A58" s="114" t="s">
        <v>691</v>
      </c>
      <c r="B58" s="115" t="s">
        <v>641</v>
      </c>
      <c r="C58" s="116" t="s">
        <v>577</v>
      </c>
      <c r="D58" s="117" t="s">
        <v>522</v>
      </c>
      <c r="E58" s="118" t="n">
        <v>45947</v>
      </c>
      <c r="F58" s="118" t="n">
        <v>45978</v>
      </c>
      <c r="G58" s="119" t="n">
        <v>1630</v>
      </c>
      <c r="H58" s="141" t="n">
        <v>0.230061</v>
      </c>
      <c r="I58" s="121" t="n">
        <v>1793</v>
      </c>
      <c r="J58" s="122" t="s">
        <v>615</v>
      </c>
    </row>
    <row r="59" customFormat="false" ht="15.75" hidden="false" customHeight="true" outlineLevel="0" collapsed="false">
      <c r="A59" s="114" t="s">
        <v>692</v>
      </c>
      <c r="B59" s="115" t="s">
        <v>693</v>
      </c>
      <c r="C59" s="116" t="s">
        <v>531</v>
      </c>
      <c r="D59" s="117" t="s">
        <v>522</v>
      </c>
      <c r="E59" s="118" t="n">
        <v>46087</v>
      </c>
      <c r="F59" s="118" t="n">
        <v>46118</v>
      </c>
      <c r="G59" s="119" t="n">
        <v>1607</v>
      </c>
      <c r="H59" s="141" t="n">
        <v>0.203485</v>
      </c>
      <c r="I59" s="121" t="n">
        <v>1767.7</v>
      </c>
      <c r="J59" s="122" t="s">
        <v>694</v>
      </c>
    </row>
    <row r="60" customFormat="false" ht="15.75" hidden="false" customHeight="true" outlineLevel="0" collapsed="false">
      <c r="A60" s="132" t="s">
        <v>695</v>
      </c>
      <c r="B60" s="133" t="s">
        <v>121</v>
      </c>
      <c r="C60" s="134" t="s">
        <v>696</v>
      </c>
      <c r="D60" s="135" t="s">
        <v>532</v>
      </c>
      <c r="E60" s="136" t="n">
        <v>46108</v>
      </c>
      <c r="F60" s="136" t="n">
        <v>46139</v>
      </c>
      <c r="G60" s="137" t="n">
        <v>1587</v>
      </c>
      <c r="H60" s="142" t="n">
        <v>0.229364</v>
      </c>
      <c r="I60" s="139" t="n">
        <v>1745.7</v>
      </c>
      <c r="J60" s="140" t="s">
        <v>697</v>
      </c>
    </row>
    <row r="61" customFormat="false" ht="15.75" hidden="false" customHeight="true" outlineLevel="0" collapsed="false">
      <c r="A61" s="114" t="s">
        <v>698</v>
      </c>
      <c r="B61" s="115" t="s">
        <v>699</v>
      </c>
      <c r="C61" s="116" t="s">
        <v>612</v>
      </c>
      <c r="D61" s="117" t="s">
        <v>522</v>
      </c>
      <c r="E61" s="118" t="n">
        <v>45904</v>
      </c>
      <c r="F61" s="118" t="n">
        <v>45934</v>
      </c>
      <c r="G61" s="119" t="n">
        <v>1308.2</v>
      </c>
      <c r="H61" s="141" t="n">
        <v>0.225462</v>
      </c>
      <c r="I61" s="121" t="n">
        <v>1439.02</v>
      </c>
      <c r="J61" s="122" t="s">
        <v>700</v>
      </c>
    </row>
    <row r="62" customFormat="false" ht="15.75" hidden="false" customHeight="true" outlineLevel="0" collapsed="false">
      <c r="A62" s="132" t="s">
        <v>701</v>
      </c>
      <c r="B62" s="133" t="s">
        <v>702</v>
      </c>
      <c r="C62" s="134" t="s">
        <v>113</v>
      </c>
      <c r="D62" s="135" t="s">
        <v>532</v>
      </c>
      <c r="E62" s="136" t="n">
        <v>46111</v>
      </c>
      <c r="F62" s="136" t="n">
        <v>46142</v>
      </c>
      <c r="G62" s="137" t="n">
        <v>1270</v>
      </c>
      <c r="H62" s="142" t="n">
        <v>0.15748</v>
      </c>
      <c r="I62" s="139" t="n">
        <v>1397</v>
      </c>
      <c r="J62" s="140" t="s">
        <v>703</v>
      </c>
    </row>
    <row r="63" customFormat="false" ht="15.75" hidden="false" customHeight="true" outlineLevel="0" collapsed="false">
      <c r="A63" s="114" t="s">
        <v>704</v>
      </c>
      <c r="B63" s="115" t="s">
        <v>705</v>
      </c>
      <c r="C63" s="116" t="s">
        <v>706</v>
      </c>
      <c r="D63" s="117" t="s">
        <v>522</v>
      </c>
      <c r="E63" s="118" t="n">
        <v>46080</v>
      </c>
      <c r="F63" s="118" t="n">
        <v>46108</v>
      </c>
      <c r="G63" s="119" t="n">
        <v>1270</v>
      </c>
      <c r="H63" s="141" t="n">
        <v>0.15748</v>
      </c>
      <c r="I63" s="121" t="n">
        <v>1397</v>
      </c>
      <c r="J63" s="122" t="s">
        <v>707</v>
      </c>
    </row>
    <row r="64" customFormat="false" ht="15.75" hidden="false" customHeight="true" outlineLevel="0" collapsed="false">
      <c r="A64" s="114" t="s">
        <v>708</v>
      </c>
      <c r="B64" s="115" t="s">
        <v>669</v>
      </c>
      <c r="C64" s="116" t="s">
        <v>531</v>
      </c>
      <c r="D64" s="117" t="s">
        <v>522</v>
      </c>
      <c r="E64" s="118" t="n">
        <v>46098</v>
      </c>
      <c r="F64" s="118" t="n">
        <v>46129</v>
      </c>
      <c r="G64" s="119" t="n">
        <v>1265</v>
      </c>
      <c r="H64" s="141" t="n">
        <v>0.209486</v>
      </c>
      <c r="I64" s="121" t="n">
        <v>1391.5</v>
      </c>
      <c r="J64" s="122" t="s">
        <v>709</v>
      </c>
    </row>
    <row r="65" customFormat="false" ht="15.75" hidden="false" customHeight="true" outlineLevel="0" collapsed="false">
      <c r="A65" s="114" t="s">
        <v>710</v>
      </c>
      <c r="B65" s="115" t="s">
        <v>711</v>
      </c>
      <c r="C65" s="116" t="s">
        <v>531</v>
      </c>
      <c r="D65" s="117" t="s">
        <v>522</v>
      </c>
      <c r="E65" s="118" t="n">
        <v>45902</v>
      </c>
      <c r="F65" s="118" t="n">
        <v>45932</v>
      </c>
      <c r="G65" s="119" t="n">
        <v>1190</v>
      </c>
      <c r="H65" s="141" t="n">
        <v>0.230252</v>
      </c>
      <c r="I65" s="121" t="n">
        <v>1309</v>
      </c>
      <c r="J65" s="122" t="s">
        <v>712</v>
      </c>
    </row>
    <row r="66" customFormat="false" ht="15.75" hidden="false" customHeight="true" outlineLevel="0" collapsed="false">
      <c r="A66" s="132" t="s">
        <v>713</v>
      </c>
      <c r="B66" s="133" t="s">
        <v>101</v>
      </c>
      <c r="C66" s="134" t="s">
        <v>577</v>
      </c>
      <c r="D66" s="135" t="s">
        <v>532</v>
      </c>
      <c r="E66" s="136" t="n">
        <v>46087</v>
      </c>
      <c r="F66" s="136" t="n">
        <v>46118</v>
      </c>
      <c r="G66" s="137" t="n">
        <v>1171</v>
      </c>
      <c r="H66" s="142" t="n">
        <v>0.204099</v>
      </c>
      <c r="I66" s="139" t="n">
        <v>1288.1</v>
      </c>
      <c r="J66" s="140" t="s">
        <v>714</v>
      </c>
    </row>
    <row r="67" customFormat="false" ht="15.75" hidden="false" customHeight="true" outlineLevel="0" collapsed="false">
      <c r="A67" s="114" t="s">
        <v>715</v>
      </c>
      <c r="B67" s="115" t="s">
        <v>287</v>
      </c>
      <c r="C67" s="116" t="s">
        <v>716</v>
      </c>
      <c r="D67" s="117" t="s">
        <v>522</v>
      </c>
      <c r="E67" s="118" t="n">
        <v>46107</v>
      </c>
      <c r="F67" s="118" t="n">
        <v>46138</v>
      </c>
      <c r="G67" s="119" t="n">
        <v>1040</v>
      </c>
      <c r="H67" s="141" t="n">
        <v>0.192308</v>
      </c>
      <c r="I67" s="121" t="n">
        <v>1144</v>
      </c>
      <c r="J67" s="122" t="s">
        <v>717</v>
      </c>
    </row>
    <row r="68" customFormat="false" ht="15.75" hidden="false" customHeight="true" outlineLevel="0" collapsed="false">
      <c r="A68" s="114" t="s">
        <v>718</v>
      </c>
      <c r="B68" s="115" t="s">
        <v>719</v>
      </c>
      <c r="C68" s="116" t="s">
        <v>586</v>
      </c>
      <c r="D68" s="117" t="s">
        <v>522</v>
      </c>
      <c r="E68" s="118" t="n">
        <v>45814</v>
      </c>
      <c r="F68" s="118" t="n">
        <v>45844</v>
      </c>
      <c r="G68" s="119" t="n">
        <v>1040</v>
      </c>
      <c r="H68" s="141" t="n">
        <v>0.192308</v>
      </c>
      <c r="I68" s="121" t="n">
        <v>1144</v>
      </c>
      <c r="J68" s="122" t="s">
        <v>720</v>
      </c>
    </row>
    <row r="69" customFormat="false" ht="15.75" hidden="false" customHeight="true" outlineLevel="0" collapsed="false">
      <c r="A69" s="114" t="s">
        <v>721</v>
      </c>
      <c r="B69" s="115" t="s">
        <v>722</v>
      </c>
      <c r="C69" s="116" t="s">
        <v>723</v>
      </c>
      <c r="D69" s="117" t="s">
        <v>522</v>
      </c>
      <c r="E69" s="118" t="n">
        <v>46028</v>
      </c>
      <c r="F69" s="118" t="n">
        <v>46059</v>
      </c>
      <c r="G69" s="119" t="n">
        <v>1040</v>
      </c>
      <c r="H69" s="141" t="n">
        <v>0.192308</v>
      </c>
      <c r="I69" s="121" t="n">
        <v>1144</v>
      </c>
      <c r="J69" s="122" t="s">
        <v>724</v>
      </c>
    </row>
    <row r="70" customFormat="false" ht="15.75" hidden="false" customHeight="true" outlineLevel="0" collapsed="false">
      <c r="A70" s="114" t="s">
        <v>725</v>
      </c>
      <c r="B70" s="115" t="s">
        <v>726</v>
      </c>
      <c r="C70" s="116" t="s">
        <v>727</v>
      </c>
      <c r="D70" s="117" t="s">
        <v>522</v>
      </c>
      <c r="E70" s="118" t="n">
        <v>45846</v>
      </c>
      <c r="F70" s="118" t="n">
        <v>45877</v>
      </c>
      <c r="G70" s="119" t="n">
        <v>980</v>
      </c>
      <c r="H70" s="120" t="n">
        <v>0.357143</v>
      </c>
      <c r="I70" s="121" t="n">
        <v>1078</v>
      </c>
      <c r="J70" s="122" t="s">
        <v>728</v>
      </c>
    </row>
    <row r="71" customFormat="false" ht="15.75" hidden="false" customHeight="true" outlineLevel="0" collapsed="false">
      <c r="A71" s="132" t="s">
        <v>729</v>
      </c>
      <c r="B71" s="133" t="s">
        <v>730</v>
      </c>
      <c r="C71" s="134" t="s">
        <v>731</v>
      </c>
      <c r="D71" s="135" t="s">
        <v>532</v>
      </c>
      <c r="E71" s="136" t="n">
        <v>46058</v>
      </c>
      <c r="F71" s="136" t="n">
        <v>46086</v>
      </c>
      <c r="G71" s="137" t="n">
        <v>950.35</v>
      </c>
      <c r="H71" s="142" t="n">
        <v>0.226348</v>
      </c>
      <c r="I71" s="139" t="n">
        <v>1045.39</v>
      </c>
      <c r="J71" s="140" t="s">
        <v>732</v>
      </c>
    </row>
    <row r="72" customFormat="false" ht="15.75" hidden="false" customHeight="true" outlineLevel="0" collapsed="false">
      <c r="A72" s="132" t="s">
        <v>733</v>
      </c>
      <c r="B72" s="133" t="s">
        <v>121</v>
      </c>
      <c r="C72" s="134" t="s">
        <v>696</v>
      </c>
      <c r="D72" s="135" t="s">
        <v>532</v>
      </c>
      <c r="E72" s="136" t="n">
        <v>46094</v>
      </c>
      <c r="F72" s="136" t="n">
        <v>46125</v>
      </c>
      <c r="G72" s="137" t="n">
        <v>942.86</v>
      </c>
      <c r="H72" s="142" t="n">
        <v>0.210911</v>
      </c>
      <c r="I72" s="139" t="n">
        <v>1037.15</v>
      </c>
      <c r="J72" s="140" t="s">
        <v>734</v>
      </c>
    </row>
    <row r="73" customFormat="false" ht="15.75" hidden="false" customHeight="true" outlineLevel="0" collapsed="false">
      <c r="A73" s="114" t="s">
        <v>735</v>
      </c>
      <c r="B73" s="115" t="s">
        <v>736</v>
      </c>
      <c r="C73" s="116" t="s">
        <v>737</v>
      </c>
      <c r="D73" s="117" t="s">
        <v>522</v>
      </c>
      <c r="E73" s="118" t="n">
        <v>45887</v>
      </c>
      <c r="F73" s="118" t="n">
        <v>45918</v>
      </c>
      <c r="G73" s="119" t="n">
        <v>920</v>
      </c>
      <c r="H73" s="120" t="n">
        <v>0.543478</v>
      </c>
      <c r="I73" s="121" t="n">
        <v>1012</v>
      </c>
      <c r="J73" s="122" t="s">
        <v>738</v>
      </c>
    </row>
    <row r="74" customFormat="false" ht="15.75" hidden="false" customHeight="true" outlineLevel="0" collapsed="false">
      <c r="A74" s="114" t="s">
        <v>739</v>
      </c>
      <c r="B74" s="115" t="s">
        <v>669</v>
      </c>
      <c r="C74" s="116" t="s">
        <v>531</v>
      </c>
      <c r="D74" s="117" t="s">
        <v>522</v>
      </c>
      <c r="E74" s="118" t="n">
        <v>46108</v>
      </c>
      <c r="F74" s="118" t="n">
        <v>46139</v>
      </c>
      <c r="G74" s="119" t="n">
        <v>657.43</v>
      </c>
      <c r="H74" s="141" t="n">
        <v>0.248772</v>
      </c>
      <c r="I74" s="121" t="n">
        <v>723.17</v>
      </c>
      <c r="J74" s="122" t="s">
        <v>740</v>
      </c>
    </row>
    <row r="75" customFormat="false" ht="15.75" hidden="false" customHeight="true" outlineLevel="0" collapsed="false">
      <c r="A75" s="114" t="s">
        <v>741</v>
      </c>
      <c r="B75" s="115" t="s">
        <v>742</v>
      </c>
      <c r="C75" s="116" t="s">
        <v>323</v>
      </c>
      <c r="D75" s="117" t="s">
        <v>522</v>
      </c>
      <c r="E75" s="118" t="n">
        <v>46021</v>
      </c>
      <c r="F75" s="118" t="n">
        <v>46052</v>
      </c>
      <c r="G75" s="119" t="n">
        <v>650</v>
      </c>
      <c r="H75" s="141" t="n">
        <v>0.192308</v>
      </c>
      <c r="I75" s="121" t="n">
        <v>715</v>
      </c>
      <c r="J75" s="122" t="s">
        <v>743</v>
      </c>
    </row>
    <row r="76" customFormat="false" ht="15.75" hidden="false" customHeight="true" outlineLevel="0" collapsed="false">
      <c r="A76" s="114" t="s">
        <v>744</v>
      </c>
      <c r="B76" s="115" t="s">
        <v>745</v>
      </c>
      <c r="C76" s="116" t="s">
        <v>531</v>
      </c>
      <c r="D76" s="117" t="s">
        <v>522</v>
      </c>
      <c r="E76" s="118" t="n">
        <v>46086</v>
      </c>
      <c r="F76" s="118" t="n">
        <v>46117</v>
      </c>
      <c r="G76" s="119" t="n">
        <v>650</v>
      </c>
      <c r="H76" s="141" t="n">
        <v>0.192308</v>
      </c>
      <c r="I76" s="121" t="n">
        <v>715</v>
      </c>
      <c r="J76" s="122" t="s">
        <v>619</v>
      </c>
    </row>
    <row r="77" customFormat="false" ht="15.75" hidden="false" customHeight="true" outlineLevel="0" collapsed="false">
      <c r="A77" s="114" t="s">
        <v>746</v>
      </c>
      <c r="B77" s="115" t="s">
        <v>747</v>
      </c>
      <c r="C77" s="116" t="s">
        <v>323</v>
      </c>
      <c r="D77" s="117" t="s">
        <v>522</v>
      </c>
      <c r="E77" s="118" t="n">
        <v>45909</v>
      </c>
      <c r="F77" s="118" t="n">
        <v>45939</v>
      </c>
      <c r="G77" s="119" t="n">
        <v>610</v>
      </c>
      <c r="H77" s="120" t="n">
        <v>0.469672</v>
      </c>
      <c r="I77" s="121" t="n">
        <v>671</v>
      </c>
      <c r="J77" s="122" t="s">
        <v>748</v>
      </c>
    </row>
    <row r="78" customFormat="false" ht="15.75" hidden="false" customHeight="true" outlineLevel="0" collapsed="false">
      <c r="A78" s="132" t="s">
        <v>749</v>
      </c>
      <c r="B78" s="133" t="s">
        <v>603</v>
      </c>
      <c r="C78" s="134" t="s">
        <v>531</v>
      </c>
      <c r="D78" s="135" t="s">
        <v>532</v>
      </c>
      <c r="E78" s="136" t="n">
        <v>46077</v>
      </c>
      <c r="F78" s="136" t="n">
        <v>46105</v>
      </c>
      <c r="G78" s="137" t="n">
        <v>520</v>
      </c>
      <c r="H78" s="142" t="n">
        <v>0.192308</v>
      </c>
      <c r="I78" s="139" t="n">
        <v>572</v>
      </c>
      <c r="J78" s="140" t="s">
        <v>750</v>
      </c>
    </row>
    <row r="79" customFormat="false" ht="15.75" hidden="false" customHeight="true" outlineLevel="0" collapsed="false">
      <c r="A79" s="132" t="s">
        <v>751</v>
      </c>
      <c r="B79" s="133" t="s">
        <v>752</v>
      </c>
      <c r="C79" s="134" t="s">
        <v>521</v>
      </c>
      <c r="D79" s="135" t="s">
        <v>532</v>
      </c>
      <c r="E79" s="136" t="n">
        <v>46104</v>
      </c>
      <c r="F79" s="136" t="n">
        <v>46135</v>
      </c>
      <c r="G79" s="137" t="n">
        <v>520</v>
      </c>
      <c r="H79" s="142" t="n">
        <v>0.192308</v>
      </c>
      <c r="I79" s="139" t="n">
        <v>572</v>
      </c>
      <c r="J79" s="140" t="s">
        <v>753</v>
      </c>
    </row>
    <row r="80" customFormat="false" ht="15.75" hidden="false" customHeight="true" outlineLevel="0" collapsed="false">
      <c r="A80" s="132" t="s">
        <v>754</v>
      </c>
      <c r="B80" s="133" t="s">
        <v>755</v>
      </c>
      <c r="C80" s="134" t="s">
        <v>88</v>
      </c>
      <c r="D80" s="135" t="s">
        <v>532</v>
      </c>
      <c r="E80" s="136" t="n">
        <v>46031</v>
      </c>
      <c r="F80" s="136" t="n">
        <v>46062</v>
      </c>
      <c r="G80" s="137" t="n">
        <v>469.99</v>
      </c>
      <c r="H80" s="142" t="n">
        <v>0.238537</v>
      </c>
      <c r="I80" s="139" t="n">
        <v>516.99</v>
      </c>
      <c r="J80" s="140" t="s">
        <v>756</v>
      </c>
    </row>
    <row r="81" customFormat="false" ht="15.75" hidden="false" customHeight="true" outlineLevel="0" collapsed="false">
      <c r="A81" s="114" t="s">
        <v>757</v>
      </c>
      <c r="B81" s="115" t="s">
        <v>595</v>
      </c>
      <c r="C81" s="116" t="s">
        <v>531</v>
      </c>
      <c r="D81" s="117" t="s">
        <v>522</v>
      </c>
      <c r="E81" s="118" t="n">
        <v>45846</v>
      </c>
      <c r="F81" s="118" t="n">
        <v>45877</v>
      </c>
      <c r="G81" s="119" t="n">
        <v>460</v>
      </c>
      <c r="H81" s="120" t="n">
        <v>0.543478</v>
      </c>
      <c r="I81" s="121" t="n">
        <v>506</v>
      </c>
      <c r="J81" s="122" t="s">
        <v>728</v>
      </c>
    </row>
    <row r="82" customFormat="false" ht="15.75" hidden="false" customHeight="true" outlineLevel="0" collapsed="false">
      <c r="A82" s="132" t="s">
        <v>758</v>
      </c>
      <c r="B82" s="133" t="s">
        <v>759</v>
      </c>
      <c r="C82" s="134" t="s">
        <v>760</v>
      </c>
      <c r="D82" s="135" t="s">
        <v>532</v>
      </c>
      <c r="E82" s="136" t="n">
        <v>46069</v>
      </c>
      <c r="F82" s="136" t="n">
        <v>46097</v>
      </c>
      <c r="G82" s="137" t="n">
        <v>460</v>
      </c>
      <c r="H82" s="138" t="n">
        <v>0.543478</v>
      </c>
      <c r="I82" s="139" t="n">
        <v>506</v>
      </c>
      <c r="J82" s="140" t="s">
        <v>761</v>
      </c>
    </row>
    <row r="83" customFormat="false" ht="15.75" hidden="false" customHeight="true" outlineLevel="0" collapsed="false">
      <c r="A83" s="123" t="s">
        <v>762</v>
      </c>
      <c r="B83" s="124" t="s">
        <v>763</v>
      </c>
      <c r="C83" s="125" t="s">
        <v>531</v>
      </c>
      <c r="D83" s="126" t="s">
        <v>527</v>
      </c>
      <c r="E83" s="127" t="n">
        <v>45957</v>
      </c>
      <c r="F83" s="127" t="n">
        <v>45988</v>
      </c>
      <c r="G83" s="128" t="n">
        <v>421.06</v>
      </c>
      <c r="H83" s="129" t="n">
        <v>0.231891</v>
      </c>
      <c r="I83" s="130" t="n">
        <v>463.17</v>
      </c>
      <c r="J83" s="131" t="s">
        <v>764</v>
      </c>
    </row>
    <row r="84" customFormat="false" ht="15.75" hidden="false" customHeight="true" outlineLevel="0" collapsed="false">
      <c r="A84" s="132" t="s">
        <v>765</v>
      </c>
      <c r="B84" s="133" t="s">
        <v>766</v>
      </c>
      <c r="C84" s="134" t="s">
        <v>767</v>
      </c>
      <c r="D84" s="135" t="s">
        <v>532</v>
      </c>
      <c r="E84" s="136" t="n">
        <v>46078</v>
      </c>
      <c r="F84" s="136" t="n">
        <v>46106</v>
      </c>
      <c r="G84" s="137" t="n">
        <v>343</v>
      </c>
      <c r="H84" s="142" t="n">
        <v>0.218659</v>
      </c>
      <c r="I84" s="139" t="n">
        <v>377.3</v>
      </c>
      <c r="J84" s="140" t="s">
        <v>768</v>
      </c>
    </row>
    <row r="85" customFormat="false" ht="15.75" hidden="false" customHeight="true" outlineLevel="0" collapsed="false">
      <c r="A85" s="123" t="s">
        <v>769</v>
      </c>
      <c r="B85" s="124" t="s">
        <v>770</v>
      </c>
      <c r="C85" s="125" t="s">
        <v>531</v>
      </c>
      <c r="D85" s="126" t="s">
        <v>527</v>
      </c>
      <c r="E85" s="127" t="n">
        <v>46113</v>
      </c>
      <c r="F85" s="127" t="n">
        <v>46143</v>
      </c>
      <c r="G85" s="128" t="n">
        <v>260</v>
      </c>
      <c r="H85" s="143" t="n">
        <v>0.9415</v>
      </c>
      <c r="I85" s="130" t="n">
        <v>286</v>
      </c>
      <c r="J85" s="131" t="s">
        <v>771</v>
      </c>
    </row>
    <row r="86" customFormat="false" ht="15.75" hidden="false" customHeight="true" outlineLevel="0" collapsed="false">
      <c r="A86" s="132" t="s">
        <v>772</v>
      </c>
      <c r="B86" s="133" t="s">
        <v>627</v>
      </c>
      <c r="C86" s="134" t="s">
        <v>628</v>
      </c>
      <c r="D86" s="135" t="s">
        <v>532</v>
      </c>
      <c r="E86" s="136" t="n">
        <v>46072</v>
      </c>
      <c r="F86" s="136" t="n">
        <v>46100</v>
      </c>
      <c r="G86" s="137" t="n">
        <v>130</v>
      </c>
      <c r="H86" s="142" t="n">
        <v>0.192308</v>
      </c>
      <c r="I86" s="139" t="n">
        <v>143</v>
      </c>
      <c r="J86" s="140" t="s">
        <v>773</v>
      </c>
    </row>
    <row r="87" customFormat="false" ht="15.75" hidden="false" customHeight="true" outlineLevel="0" collapsed="false">
      <c r="A87" s="123" t="s">
        <v>774</v>
      </c>
      <c r="B87" s="124" t="s">
        <v>775</v>
      </c>
      <c r="C87" s="125" t="s">
        <v>776</v>
      </c>
      <c r="D87" s="126" t="s">
        <v>527</v>
      </c>
      <c r="E87" s="127" t="n">
        <v>46084</v>
      </c>
      <c r="F87" s="127" t="n">
        <v>46115</v>
      </c>
      <c r="G87" s="128" t="n">
        <v>0</v>
      </c>
      <c r="H87" s="146" t="n">
        <v>0</v>
      </c>
      <c r="I87" s="130" t="n">
        <v>0</v>
      </c>
      <c r="J87" s="131" t="s">
        <v>777</v>
      </c>
    </row>
    <row r="88" customFormat="false" ht="15.75" hidden="false" customHeight="true" outlineLevel="0" collapsed="false">
      <c r="A88" s="123" t="s">
        <v>778</v>
      </c>
      <c r="B88" s="124" t="s">
        <v>779</v>
      </c>
      <c r="C88" s="125" t="s">
        <v>531</v>
      </c>
      <c r="D88" s="126" t="s">
        <v>527</v>
      </c>
      <c r="E88" s="127" t="n">
        <v>45902</v>
      </c>
      <c r="F88" s="127" t="n">
        <v>45932</v>
      </c>
      <c r="G88" s="128" t="n">
        <v>0</v>
      </c>
      <c r="H88" s="146" t="n">
        <v>0</v>
      </c>
      <c r="I88" s="130" t="n">
        <v>0</v>
      </c>
      <c r="J88" s="131" t="s">
        <v>551</v>
      </c>
    </row>
    <row r="89" customFormat="false" ht="15.75" hidden="false" customHeight="true" outlineLevel="0" collapsed="false">
      <c r="A89" s="123" t="s">
        <v>780</v>
      </c>
      <c r="B89" s="124" t="s">
        <v>781</v>
      </c>
      <c r="C89" s="125" t="s">
        <v>531</v>
      </c>
      <c r="D89" s="126" t="s">
        <v>527</v>
      </c>
      <c r="E89" s="127" t="n">
        <v>45883</v>
      </c>
      <c r="F89" s="127" t="n">
        <v>45914</v>
      </c>
      <c r="G89" s="128" t="n">
        <v>0</v>
      </c>
      <c r="H89" s="146" t="n">
        <v>0</v>
      </c>
      <c r="I89" s="130" t="n">
        <v>0</v>
      </c>
      <c r="J89" s="131" t="s">
        <v>782</v>
      </c>
    </row>
    <row r="91" customFormat="false" ht="19.5" hidden="false" customHeight="true" outlineLevel="0" collapsed="false">
      <c r="A91" s="75" t="str">
        <f aca="false">SUBTOTAL(103,A4:A89)&amp;" of 86 quotes"</f>
        <v>86 of 86 quotes</v>
      </c>
      <c r="B91" s="75"/>
      <c r="C91" s="75"/>
      <c r="D91" s="75"/>
      <c r="E91" s="75"/>
      <c r="F91" s="75"/>
      <c r="G91" s="76" t="n">
        <f aca="false">SUBTOTAL(9,G4:G89)</f>
        <v>441369.94</v>
      </c>
      <c r="H91" s="147" t="n">
        <f aca="false">IFERROR(AVERAGE(H4:H89),0)</f>
        <v>0.229208848837209</v>
      </c>
      <c r="I91" s="76" t="n">
        <f aca="false">SUBTOTAL(9,I4:I89)</f>
        <v>485506.99</v>
      </c>
      <c r="J91" s="77"/>
    </row>
  </sheetData>
  <autoFilter ref="A3:J89"/>
  <mergeCells count="3">
    <mergeCell ref="A1:J1"/>
    <mergeCell ref="A2:J2"/>
    <mergeCell ref="A91:F91"/>
  </mergeCells>
  <conditionalFormatting sqref="D4:D89">
    <cfRule type="expression" priority="2" aboveAverage="0" equalAverage="0" bottom="0" percent="0" rank="0" text="" dxfId="100">
      <formula>$D4="FINALISED"</formula>
    </cfRule>
    <cfRule type="expression" priority="3" aboveAverage="0" equalAverage="0" bottom="0" percent="0" rank="0" text="" dxfId="101">
      <formula>$D4="SUBMITTED"</formula>
    </cfRule>
    <cfRule type="expression" priority="4" aboveAverage="0" equalAverage="0" bottom="0" percent="0" rank="0" text="" dxfId="257">
      <formula>$D4="DRAFT"</formula>
    </cfRule>
  </conditionalFormatting>
  <conditionalFormatting sqref="H4:H89">
    <cfRule type="colorScale" priority="5">
      <colorScale>
        <cfvo type="num" val="0.1"/>
        <cfvo type="num" val="0.22"/>
        <cfvo type="num" val="0.35"/>
        <color rgb="FFEF4444"/>
        <color rgb="FFFACC15"/>
        <color rgb="FF22C55E"/>
      </colorScale>
    </cfRule>
  </conditionalFormatting>
  <conditionalFormatting sqref="G4:G89">
    <cfRule type="dataBar" priority="6">
      <dataBar showValue="1" minLength="10" maxLength="90">
        <cfvo type="min" val="0"/>
        <cfvo type="max" val="0"/>
        <color rgb="FF334155"/>
      </dataBar>
      <extLst>
        <ext xmlns:x14="http://schemas.microsoft.com/office/spreadsheetml/2009/9/main" uri="{B025F937-C7B1-47D3-B67F-A62EFF666E3E}">
          <x14:id>{4278EF56-6EBD-4850-95DB-418DE250DB1E}</x14:id>
        </ext>
      </extLst>
    </cfRule>
  </conditionalFormatting>
  <dataValidations count="1">
    <dataValidation allowBlank="true" error="Select from list" errorStyle="stop" errorTitle="Invalid entry" operator="between" prompt="FINALISED, SUBMITTED, DRAFT" promptTitle="Select value" showDropDown="false" showErrorMessage="true" showInputMessage="true" sqref="D4:D89" type="list">
      <formula1>"FINALISED,SUBMITTED,DRAFT"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78EF56-6EBD-4850-95DB-418DE250DB1E}">
            <x14:dataBar minLength="10" maxLength="90" axisPosition="none" gradient="true">
              <x14:cfvo type="min"/>
              <x14:cfvo type="max"/>
              <x14:negativeFillColor rgb="FF334155"/>
              <x14:axisColor rgb="FF000000"/>
            </x14:dataBar>
          </x14:cfRule>
          <xm:sqref>G4:G89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2B4A"/>
    <pageSetUpPr fitToPage="false"/>
  </sheetPr>
  <dimension ref="A1:O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7" min="3" style="0" width="13"/>
    <col collapsed="false" customWidth="true" hidden="false" outlineLevel="0" max="8" min="8" style="0" width="2"/>
    <col collapsed="false" customWidth="true" hidden="false" outlineLevel="0" max="9" min="9" style="0" width="22"/>
    <col collapsed="false" customWidth="true" hidden="false" outlineLevel="0" max="14" min="10" style="0" width="13"/>
    <col collapsed="false" customWidth="true" hidden="false" outlineLevel="0" max="15" min="15" style="0" width="2"/>
  </cols>
  <sheetData>
    <row r="1" customFormat="false" ht="27.75" hidden="false" customHeight="true" outlineLevel="0" collapsed="false">
      <c r="A1" s="1" t="s">
        <v>783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3.5" hidden="false" customHeight="true" outlineLevel="0" collapsed="false">
      <c r="A2" s="2" t="s">
        <v>784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6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1.75" hidden="false" customHeight="true" outlineLevel="0" collapsed="false">
      <c r="B4" s="148" t="s">
        <v>785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</row>
    <row r="5" customFormat="false" ht="12.75" hidden="false" customHeight="true" outlineLevel="0" collapsed="false">
      <c r="A5" s="3"/>
      <c r="B5" s="149" t="s">
        <v>786</v>
      </c>
      <c r="C5" s="149"/>
      <c r="D5" s="150" t="s">
        <v>787</v>
      </c>
      <c r="E5" s="150"/>
      <c r="F5" s="151" t="s">
        <v>788</v>
      </c>
      <c r="G5" s="151"/>
      <c r="H5" s="3"/>
      <c r="I5" s="152" t="s">
        <v>789</v>
      </c>
      <c r="J5" s="152"/>
      <c r="K5" s="153" t="s">
        <v>16</v>
      </c>
      <c r="L5" s="153"/>
      <c r="M5" s="153" t="s">
        <v>790</v>
      </c>
      <c r="N5" s="153"/>
    </row>
    <row r="6" customFormat="false" ht="21.75" hidden="false" customHeight="true" outlineLevel="0" collapsed="false">
      <c r="A6" s="3"/>
      <c r="B6" s="154" t="n">
        <v>523608.1045</v>
      </c>
      <c r="C6" s="154"/>
      <c r="D6" s="155" t="n">
        <v>279220.55</v>
      </c>
      <c r="E6" s="155"/>
      <c r="F6" s="156" t="n">
        <v>120317.47</v>
      </c>
      <c r="G6" s="156"/>
      <c r="H6" s="3"/>
      <c r="I6" s="157" t="n">
        <v>458889.1045</v>
      </c>
      <c r="J6" s="157"/>
      <c r="K6" s="158" t="n">
        <v>8214.7161</v>
      </c>
      <c r="L6" s="158"/>
      <c r="M6" s="158" t="n">
        <v>180000</v>
      </c>
      <c r="N6" s="158"/>
    </row>
    <row r="7" customFormat="false" ht="18" hidden="false" customHeight="true" outlineLevel="0" collapsed="false">
      <c r="A7" s="3"/>
      <c r="B7" s="154"/>
      <c r="C7" s="154"/>
      <c r="D7" s="155"/>
      <c r="E7" s="155"/>
      <c r="F7" s="156"/>
      <c r="G7" s="156"/>
      <c r="H7" s="3"/>
      <c r="I7" s="157"/>
      <c r="J7" s="157"/>
      <c r="K7" s="158"/>
      <c r="L7" s="158"/>
      <c r="M7" s="158"/>
      <c r="N7" s="158"/>
    </row>
    <row r="8" customFormat="false" ht="12" hidden="false" customHeight="true" outlineLevel="0" collapsed="false">
      <c r="A8" s="3"/>
      <c r="B8" s="159"/>
      <c r="C8" s="159"/>
      <c r="D8" s="160"/>
      <c r="E8" s="160"/>
      <c r="F8" s="161"/>
      <c r="G8" s="161"/>
      <c r="H8" s="3"/>
      <c r="I8" s="162"/>
      <c r="J8" s="162"/>
      <c r="K8" s="163"/>
      <c r="L8" s="163"/>
      <c r="M8" s="163"/>
      <c r="N8" s="163"/>
    </row>
    <row r="9" customFormat="false" ht="6.7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customFormat="false" ht="21.75" hidden="false" customHeight="true" outlineLevel="0" collapsed="false">
      <c r="B10" s="148" t="s">
        <v>791</v>
      </c>
      <c r="C10" s="148"/>
      <c r="D10" s="148"/>
      <c r="E10" s="148"/>
      <c r="F10" s="148"/>
      <c r="G10" s="148"/>
      <c r="H10" s="148"/>
    </row>
    <row r="11" customFormat="false" ht="18" hidden="false" customHeight="true" outlineLevel="0" collapsed="false">
      <c r="B11" s="9" t="s">
        <v>11</v>
      </c>
      <c r="C11" s="9" t="s">
        <v>792</v>
      </c>
      <c r="D11" s="9" t="s">
        <v>13</v>
      </c>
      <c r="E11" s="9" t="s">
        <v>793</v>
      </c>
      <c r="F11" s="9" t="s">
        <v>794</v>
      </c>
      <c r="G11" s="9" t="s">
        <v>795</v>
      </c>
      <c r="H11" s="9"/>
    </row>
    <row r="12" customFormat="false" ht="16.5" hidden="false" customHeight="true" outlineLevel="0" collapsed="false">
      <c r="B12" s="164" t="s">
        <v>22</v>
      </c>
      <c r="C12" s="165" t="n">
        <v>95</v>
      </c>
      <c r="D12" s="166" t="n">
        <v>290074.1548</v>
      </c>
      <c r="E12" s="167" t="n">
        <v>0.553990956799638</v>
      </c>
      <c r="F12" s="166" t="n">
        <v>3053.41215578947</v>
      </c>
      <c r="G12" s="125" t="s">
        <v>796</v>
      </c>
      <c r="H12" s="168"/>
    </row>
    <row r="13" customFormat="false" ht="16.5" hidden="false" customHeight="true" outlineLevel="0" collapsed="false">
      <c r="B13" s="169" t="s">
        <v>219</v>
      </c>
      <c r="C13" s="170" t="n">
        <v>51</v>
      </c>
      <c r="D13" s="171" t="n">
        <v>138384.8546</v>
      </c>
      <c r="E13" s="172" t="n">
        <v>0.264290895061958</v>
      </c>
      <c r="F13" s="171" t="n">
        <v>2713.42852156863</v>
      </c>
      <c r="G13" s="173" t="s">
        <v>797</v>
      </c>
      <c r="H13" s="174"/>
    </row>
    <row r="14" customFormat="false" ht="16.5" hidden="false" customHeight="true" outlineLevel="0" collapsed="false">
      <c r="B14" s="175" t="s">
        <v>54</v>
      </c>
      <c r="C14" s="165" t="n">
        <v>27</v>
      </c>
      <c r="D14" s="166" t="n">
        <v>80268.4745</v>
      </c>
      <c r="E14" s="167" t="n">
        <v>0.153298762586285</v>
      </c>
      <c r="F14" s="166" t="n">
        <v>2972.90646296296</v>
      </c>
      <c r="G14" s="125" t="s">
        <v>798</v>
      </c>
      <c r="H14" s="168"/>
    </row>
    <row r="15" customFormat="false" ht="16.5" hidden="false" customHeight="true" outlineLevel="0" collapsed="false">
      <c r="B15" s="176" t="s">
        <v>271</v>
      </c>
      <c r="C15" s="170" t="n">
        <v>6</v>
      </c>
      <c r="D15" s="171" t="n">
        <v>3920.63</v>
      </c>
      <c r="E15" s="172" t="n">
        <v>0.00748771832656001</v>
      </c>
      <c r="F15" s="171" t="n">
        <v>653.438333333333</v>
      </c>
      <c r="G15" s="173" t="s">
        <v>799</v>
      </c>
      <c r="H15" s="174"/>
    </row>
    <row r="16" customFormat="false" ht="16.5" hidden="false" customHeight="true" outlineLevel="0" collapsed="false">
      <c r="B16" s="177" t="s">
        <v>800</v>
      </c>
      <c r="C16" s="165" t="n">
        <v>31</v>
      </c>
      <c r="D16" s="166" t="n">
        <v>10959.9906</v>
      </c>
      <c r="E16" s="167" t="n">
        <v>0.0209316672255595</v>
      </c>
      <c r="F16" s="166" t="n">
        <v>353.548083870968</v>
      </c>
      <c r="G16" s="125" t="s">
        <v>801</v>
      </c>
      <c r="H16" s="168"/>
    </row>
    <row r="17" customFormat="false" ht="6.7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customFormat="false" ht="21.75" hidden="false" customHeight="true" outlineLevel="0" collapsed="false">
      <c r="B18" s="178" t="s">
        <v>802</v>
      </c>
      <c r="C18" s="178"/>
      <c r="D18" s="178"/>
      <c r="E18" s="178"/>
      <c r="F18" s="178"/>
      <c r="G18" s="178"/>
      <c r="H18" s="178"/>
    </row>
    <row r="19" customFormat="false" ht="18" hidden="false" customHeight="true" outlineLevel="0" collapsed="false">
      <c r="B19" s="9" t="s">
        <v>803</v>
      </c>
      <c r="C19" s="9" t="s">
        <v>804</v>
      </c>
      <c r="D19" s="9" t="s">
        <v>805</v>
      </c>
      <c r="E19" s="9" t="s">
        <v>806</v>
      </c>
      <c r="F19" s="9" t="s">
        <v>11</v>
      </c>
      <c r="G19" s="9"/>
      <c r="H19" s="9"/>
    </row>
    <row r="20" customFormat="false" ht="18" hidden="false" customHeight="true" outlineLevel="0" collapsed="false">
      <c r="B20" s="123" t="s">
        <v>807</v>
      </c>
      <c r="C20" s="166" t="n">
        <v>27922.055</v>
      </c>
      <c r="D20" s="166" t="n">
        <v>180000</v>
      </c>
      <c r="E20" s="179" t="n">
        <v>-152077.945</v>
      </c>
      <c r="F20" s="180" t="s">
        <v>808</v>
      </c>
      <c r="G20" s="168"/>
      <c r="H20" s="168"/>
    </row>
    <row r="21" customFormat="false" ht="18" hidden="false" customHeight="true" outlineLevel="0" collapsed="false">
      <c r="B21" s="181" t="s">
        <v>809</v>
      </c>
      <c r="C21" s="171" t="n">
        <v>48550.699</v>
      </c>
      <c r="D21" s="171" t="n">
        <v>297692.307692308</v>
      </c>
      <c r="E21" s="182" t="n">
        <v>-249141.608692308</v>
      </c>
      <c r="F21" s="183" t="s">
        <v>808</v>
      </c>
      <c r="G21" s="174"/>
      <c r="H21" s="174"/>
    </row>
    <row r="22" customFormat="false" ht="18" hidden="false" customHeight="true" outlineLevel="0" collapsed="false">
      <c r="B22" s="123" t="s">
        <v>810</v>
      </c>
      <c r="C22" s="167" t="n">
        <v>0.604651162790698</v>
      </c>
      <c r="D22" s="167" t="n">
        <v>0.7</v>
      </c>
      <c r="E22" s="184" t="n">
        <v>-0.0953488372093023</v>
      </c>
      <c r="F22" s="180" t="s">
        <v>808</v>
      </c>
      <c r="G22" s="168"/>
      <c r="H22" s="168"/>
    </row>
    <row r="23" customFormat="false" ht="18" hidden="false" customHeight="true" outlineLevel="0" collapsed="false">
      <c r="B23" s="181" t="s">
        <v>811</v>
      </c>
      <c r="C23" s="172" t="n">
        <v>0.233375612303819</v>
      </c>
      <c r="D23" s="172" t="n">
        <v>0.25</v>
      </c>
      <c r="E23" s="185" t="n">
        <v>-0.0166243876961807</v>
      </c>
      <c r="F23" s="183" t="s">
        <v>808</v>
      </c>
      <c r="G23" s="174"/>
      <c r="H23" s="174"/>
    </row>
    <row r="24" customFormat="false" ht="6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customFormat="false" ht="21.75" hidden="false" customHeight="true" outlineLevel="0" collapsed="false">
      <c r="B25" s="148" t="s">
        <v>812</v>
      </c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</row>
    <row r="26" customFormat="false" ht="18" hidden="false" customHeight="true" outlineLevel="0" collapsed="false">
      <c r="B26" s="186" t="s">
        <v>12</v>
      </c>
      <c r="C26" s="186" t="s">
        <v>813</v>
      </c>
      <c r="D26" s="186" t="s">
        <v>13</v>
      </c>
      <c r="E26" s="186" t="s">
        <v>814</v>
      </c>
      <c r="F26" s="186" t="s">
        <v>815</v>
      </c>
      <c r="G26" s="186" t="s">
        <v>816</v>
      </c>
      <c r="H26" s="186" t="s">
        <v>54</v>
      </c>
      <c r="I26" s="186" t="s">
        <v>219</v>
      </c>
      <c r="J26" s="186" t="s">
        <v>18</v>
      </c>
      <c r="K26" s="186" t="s">
        <v>55</v>
      </c>
      <c r="L26" s="186" t="s">
        <v>817</v>
      </c>
      <c r="M26" s="186"/>
      <c r="N26" s="186"/>
    </row>
    <row r="27" customFormat="false" ht="16.5" hidden="false" customHeight="true" outlineLevel="0" collapsed="false">
      <c r="B27" s="187" t="s">
        <v>23</v>
      </c>
      <c r="C27" s="165" t="n">
        <v>60</v>
      </c>
      <c r="D27" s="188" t="n">
        <v>187069.4637</v>
      </c>
      <c r="E27" s="165" t="n">
        <v>39</v>
      </c>
      <c r="F27" s="165" t="n">
        <v>21</v>
      </c>
      <c r="G27" s="189" t="n">
        <v>34</v>
      </c>
      <c r="H27" s="190" t="n">
        <v>3</v>
      </c>
      <c r="I27" s="191" t="n">
        <v>5</v>
      </c>
      <c r="J27" s="192" t="n">
        <v>6</v>
      </c>
      <c r="K27" s="189" t="n">
        <v>29</v>
      </c>
      <c r="L27" s="193" t="n">
        <v>0.357269992752757</v>
      </c>
      <c r="M27" s="168"/>
      <c r="N27" s="168"/>
    </row>
    <row r="28" customFormat="false" ht="16.5" hidden="false" customHeight="true" outlineLevel="0" collapsed="false">
      <c r="B28" s="194" t="s">
        <v>47</v>
      </c>
      <c r="C28" s="170" t="n">
        <v>43</v>
      </c>
      <c r="D28" s="195" t="n">
        <v>95413.8742</v>
      </c>
      <c r="E28" s="170" t="n">
        <v>22</v>
      </c>
      <c r="F28" s="170" t="n">
        <v>21</v>
      </c>
      <c r="G28" s="196" t="n">
        <v>35</v>
      </c>
      <c r="H28" s="197" t="n">
        <v>0</v>
      </c>
      <c r="I28" s="198" t="n">
        <v>3</v>
      </c>
      <c r="J28" s="199" t="n">
        <v>2</v>
      </c>
      <c r="K28" s="196" t="n">
        <v>34</v>
      </c>
      <c r="L28" s="200" t="n">
        <v>0.182223829959836</v>
      </c>
      <c r="M28" s="174"/>
      <c r="N28" s="174"/>
    </row>
    <row r="29" customFormat="false" ht="16.5" hidden="false" customHeight="true" outlineLevel="0" collapsed="false">
      <c r="B29" s="187" t="s">
        <v>38</v>
      </c>
      <c r="C29" s="165" t="n">
        <v>22</v>
      </c>
      <c r="D29" s="188" t="n">
        <v>38765.8736</v>
      </c>
      <c r="E29" s="165" t="n">
        <v>12</v>
      </c>
      <c r="F29" s="165" t="n">
        <v>10</v>
      </c>
      <c r="G29" s="189" t="n">
        <v>17</v>
      </c>
      <c r="H29" s="190" t="n">
        <v>1</v>
      </c>
      <c r="I29" s="191" t="n">
        <v>1</v>
      </c>
      <c r="J29" s="192" t="n">
        <v>1</v>
      </c>
      <c r="K29" s="189" t="n">
        <v>16</v>
      </c>
      <c r="L29" s="193" t="n">
        <v>0.0740360457885159</v>
      </c>
      <c r="M29" s="168"/>
      <c r="N29" s="168"/>
    </row>
    <row r="30" customFormat="false" ht="16.5" hidden="false" customHeight="true" outlineLevel="0" collapsed="false">
      <c r="B30" s="194" t="s">
        <v>34</v>
      </c>
      <c r="C30" s="170" t="n">
        <v>1</v>
      </c>
      <c r="D30" s="195" t="n">
        <v>12263.736</v>
      </c>
      <c r="E30" s="170" t="n">
        <v>1</v>
      </c>
      <c r="F30" s="170" t="n">
        <v>0</v>
      </c>
      <c r="G30" s="196" t="n">
        <v>1</v>
      </c>
      <c r="H30" s="197" t="n">
        <v>0</v>
      </c>
      <c r="I30" s="198" t="n">
        <v>0</v>
      </c>
      <c r="J30" s="199" t="n">
        <v>1</v>
      </c>
      <c r="K30" s="196" t="n">
        <v>0</v>
      </c>
      <c r="L30" s="200" t="n">
        <v>0.0234215931621433</v>
      </c>
      <c r="M30" s="174"/>
      <c r="N30" s="174"/>
    </row>
    <row r="31" customFormat="false" ht="16.5" hidden="false" customHeight="true" outlineLevel="0" collapsed="false">
      <c r="B31" s="187" t="s">
        <v>99</v>
      </c>
      <c r="C31" s="165" t="n">
        <v>9</v>
      </c>
      <c r="D31" s="188" t="n">
        <v>7205.442</v>
      </c>
      <c r="E31" s="165" t="n">
        <v>3</v>
      </c>
      <c r="F31" s="165" t="n">
        <v>6</v>
      </c>
      <c r="G31" s="189" t="n">
        <v>3</v>
      </c>
      <c r="H31" s="190" t="n">
        <v>0</v>
      </c>
      <c r="I31" s="191" t="n">
        <v>1</v>
      </c>
      <c r="J31" s="192" t="n">
        <v>0</v>
      </c>
      <c r="K31" s="189" t="n">
        <v>1</v>
      </c>
      <c r="L31" s="193" t="n">
        <v>0.0137611353569108</v>
      </c>
      <c r="M31" s="168"/>
      <c r="N31" s="168"/>
    </row>
    <row r="32" customFormat="false" ht="16.5" hidden="false" customHeight="true" outlineLevel="0" collapsed="false">
      <c r="B32" s="194" t="s">
        <v>95</v>
      </c>
      <c r="C32" s="170" t="n">
        <v>2</v>
      </c>
      <c r="D32" s="195" t="n">
        <v>2988.0025</v>
      </c>
      <c r="E32" s="170" t="n">
        <v>1</v>
      </c>
      <c r="F32" s="170" t="n">
        <v>1</v>
      </c>
      <c r="G32" s="196" t="n">
        <v>1</v>
      </c>
      <c r="H32" s="197" t="n">
        <v>0</v>
      </c>
      <c r="I32" s="198" t="n">
        <v>1</v>
      </c>
      <c r="J32" s="199" t="n">
        <v>0</v>
      </c>
      <c r="K32" s="196" t="n">
        <v>1</v>
      </c>
      <c r="L32" s="200" t="n">
        <v>0.00570656274095162</v>
      </c>
      <c r="M32" s="174"/>
      <c r="N32" s="174"/>
    </row>
    <row r="33" customFormat="false" ht="16.5" hidden="false" customHeight="true" outlineLevel="0" collapsed="false">
      <c r="B33" s="187" t="s">
        <v>189</v>
      </c>
      <c r="C33" s="165" t="n">
        <v>1</v>
      </c>
      <c r="D33" s="188" t="n">
        <v>2388.008</v>
      </c>
      <c r="E33" s="165" t="n">
        <v>1</v>
      </c>
      <c r="F33" s="165" t="n">
        <v>0</v>
      </c>
      <c r="G33" s="189" t="n">
        <v>1</v>
      </c>
      <c r="H33" s="190" t="n">
        <v>0</v>
      </c>
      <c r="I33" s="191" t="n">
        <v>0</v>
      </c>
      <c r="J33" s="192" t="n">
        <v>0</v>
      </c>
      <c r="K33" s="189" t="n">
        <v>1</v>
      </c>
      <c r="L33" s="193" t="n">
        <v>0.00456067807101714</v>
      </c>
      <c r="M33" s="168"/>
      <c r="N33" s="168"/>
    </row>
    <row r="34" customFormat="false" ht="16.5" hidden="false" customHeight="true" outlineLevel="0" collapsed="false">
      <c r="B34" s="194" t="s">
        <v>285</v>
      </c>
      <c r="C34" s="170" t="n">
        <v>5</v>
      </c>
      <c r="D34" s="195" t="n">
        <v>2300.63</v>
      </c>
      <c r="E34" s="170" t="n">
        <v>1</v>
      </c>
      <c r="F34" s="170" t="n">
        <v>4</v>
      </c>
      <c r="G34" s="196" t="n">
        <v>1</v>
      </c>
      <c r="H34" s="197" t="n">
        <v>0</v>
      </c>
      <c r="I34" s="198" t="n">
        <v>0</v>
      </c>
      <c r="J34" s="199" t="n">
        <v>0</v>
      </c>
      <c r="K34" s="196" t="n">
        <v>0</v>
      </c>
      <c r="L34" s="200" t="n">
        <v>0.00439380135683137</v>
      </c>
      <c r="M34" s="174"/>
      <c r="N34" s="174"/>
    </row>
    <row r="35" customFormat="false" ht="16.5" hidden="false" customHeight="true" outlineLevel="0" collapsed="false">
      <c r="B35" s="187" t="s">
        <v>383</v>
      </c>
      <c r="C35" s="165" t="n">
        <v>1</v>
      </c>
      <c r="D35" s="188" t="n">
        <v>1600</v>
      </c>
      <c r="E35" s="165" t="n">
        <v>0</v>
      </c>
      <c r="F35" s="165" t="n">
        <v>1</v>
      </c>
      <c r="G35" s="189" t="n">
        <v>1</v>
      </c>
      <c r="H35" s="190" t="n">
        <v>0</v>
      </c>
      <c r="I35" s="191" t="n">
        <v>0</v>
      </c>
      <c r="J35" s="192" t="n">
        <v>0</v>
      </c>
      <c r="K35" s="189" t="n">
        <v>1</v>
      </c>
      <c r="L35" s="193" t="n">
        <v>0.00305572046392953</v>
      </c>
      <c r="M35" s="168"/>
      <c r="N35" s="168"/>
    </row>
    <row r="36" customFormat="false" ht="16.5" hidden="false" customHeight="true" outlineLevel="0" collapsed="false">
      <c r="B36" s="194" t="s">
        <v>818</v>
      </c>
      <c r="C36" s="170" t="n">
        <v>1</v>
      </c>
      <c r="D36" s="195" t="n">
        <v>469.9906</v>
      </c>
      <c r="E36" s="170" t="n">
        <v>1</v>
      </c>
      <c r="F36" s="170" t="n">
        <v>0</v>
      </c>
      <c r="G36" s="196" t="n">
        <v>0</v>
      </c>
      <c r="H36" s="197" t="n">
        <v>0</v>
      </c>
      <c r="I36" s="198" t="n">
        <v>0</v>
      </c>
      <c r="J36" s="199" t="n">
        <v>0</v>
      </c>
      <c r="K36" s="196" t="n">
        <v>0</v>
      </c>
      <c r="L36" s="200" t="n">
        <v>0.000897599933921573</v>
      </c>
      <c r="M36" s="174"/>
      <c r="N36" s="174"/>
    </row>
    <row r="37" customFormat="false" ht="16.5" hidden="false" customHeight="true" outlineLevel="0" collapsed="false">
      <c r="B37" s="187" t="s">
        <v>819</v>
      </c>
      <c r="C37" s="165" t="n">
        <v>1</v>
      </c>
      <c r="D37" s="188" t="n">
        <v>130</v>
      </c>
      <c r="E37" s="165" t="n">
        <v>0</v>
      </c>
      <c r="F37" s="165" t="n">
        <v>1</v>
      </c>
      <c r="G37" s="189" t="n">
        <v>0</v>
      </c>
      <c r="H37" s="190" t="n">
        <v>0</v>
      </c>
      <c r="I37" s="191" t="n">
        <v>0</v>
      </c>
      <c r="J37" s="192" t="n">
        <v>0</v>
      </c>
      <c r="K37" s="189" t="n">
        <v>0</v>
      </c>
      <c r="L37" s="193" t="n">
        <v>0.000248277287694274</v>
      </c>
      <c r="M37" s="168"/>
      <c r="N37" s="168"/>
    </row>
  </sheetData>
  <mergeCells count="28">
    <mergeCell ref="A1:O1"/>
    <mergeCell ref="A2:O2"/>
    <mergeCell ref="A3:O3"/>
    <mergeCell ref="B4:O4"/>
    <mergeCell ref="B5:C5"/>
    <mergeCell ref="D5:E5"/>
    <mergeCell ref="F5:G5"/>
    <mergeCell ref="I5:J5"/>
    <mergeCell ref="K5:L5"/>
    <mergeCell ref="M5:N5"/>
    <mergeCell ref="B6:C7"/>
    <mergeCell ref="D6:E7"/>
    <mergeCell ref="F6:G7"/>
    <mergeCell ref="I6:J7"/>
    <mergeCell ref="K6:L7"/>
    <mergeCell ref="M6:N7"/>
    <mergeCell ref="B8:C8"/>
    <mergeCell ref="D8:E8"/>
    <mergeCell ref="F8:G8"/>
    <mergeCell ref="I8:J8"/>
    <mergeCell ref="K8:L8"/>
    <mergeCell ref="M8:N8"/>
    <mergeCell ref="A9:O9"/>
    <mergeCell ref="B10:H10"/>
    <mergeCell ref="A17:O17"/>
    <mergeCell ref="B18:H18"/>
    <mergeCell ref="A24:O24"/>
    <mergeCell ref="B25:N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N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14" min="14" style="0" width="2"/>
  </cols>
  <sheetData>
    <row r="1" customFormat="false" ht="27.75" hidden="false" customHeight="true" outlineLevel="0" collapsed="false">
      <c r="A1" s="1" t="s">
        <v>820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3.5" hidden="false" customHeight="true" outlineLevel="0" collapsed="false">
      <c r="A2" s="78" t="s">
        <v>821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</row>
    <row r="3" customFormat="false" ht="6.75" hidden="false" customHeight="true" outlineLevel="0" collapsed="false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</row>
    <row r="4" customFormat="false" ht="21.75" hidden="false" customHeight="true" outlineLevel="0" collapsed="false">
      <c r="B4" s="202" t="s">
        <v>822</v>
      </c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</row>
    <row r="5" customFormat="false" ht="12.75" hidden="false" customHeight="true" outlineLevel="0" collapsed="false">
      <c r="A5" s="201"/>
      <c r="B5" s="203" t="s">
        <v>790</v>
      </c>
      <c r="C5" s="203"/>
      <c r="D5" s="204" t="s">
        <v>823</v>
      </c>
      <c r="E5" s="204"/>
      <c r="F5" s="204" t="s">
        <v>824</v>
      </c>
      <c r="G5" s="204"/>
      <c r="H5" s="201"/>
      <c r="I5" s="205" t="s">
        <v>825</v>
      </c>
      <c r="J5" s="205"/>
      <c r="K5" s="203" t="s">
        <v>826</v>
      </c>
      <c r="L5" s="203"/>
      <c r="M5" s="206" t="s">
        <v>827</v>
      </c>
      <c r="N5" s="206"/>
    </row>
    <row r="6" customFormat="false" ht="21.75" hidden="false" customHeight="true" outlineLevel="0" collapsed="false">
      <c r="A6" s="201"/>
      <c r="B6" s="207" t="n">
        <v>180000</v>
      </c>
      <c r="C6" s="207"/>
      <c r="D6" s="208" t="n">
        <v>27922.055</v>
      </c>
      <c r="E6" s="208"/>
      <c r="F6" s="208" t="n">
        <v>152077.945</v>
      </c>
      <c r="G6" s="208"/>
      <c r="H6" s="201"/>
      <c r="I6" s="209" t="n">
        <v>0.604651162790698</v>
      </c>
      <c r="J6" s="209"/>
      <c r="K6" s="207" t="n">
        <v>5369.62596153846</v>
      </c>
      <c r="L6" s="207"/>
      <c r="M6" s="210" t="n">
        <v>0.233375612303819</v>
      </c>
      <c r="N6" s="210"/>
    </row>
    <row r="7" customFormat="false" ht="18" hidden="false" customHeight="true" outlineLevel="0" collapsed="false">
      <c r="A7" s="201"/>
      <c r="B7" s="207"/>
      <c r="C7" s="207"/>
      <c r="D7" s="208"/>
      <c r="E7" s="208"/>
      <c r="F7" s="208"/>
      <c r="G7" s="208"/>
      <c r="H7" s="201"/>
      <c r="I7" s="209"/>
      <c r="J7" s="209"/>
      <c r="K7" s="207"/>
      <c r="L7" s="207"/>
      <c r="M7" s="210"/>
      <c r="N7" s="210"/>
    </row>
    <row r="8" customFormat="false" ht="12.75" hidden="false" customHeight="true" outlineLevel="0" collapsed="false">
      <c r="A8" s="201"/>
      <c r="B8" s="211" t="s">
        <v>828</v>
      </c>
      <c r="C8" s="211"/>
      <c r="D8" s="212" t="s">
        <v>829</v>
      </c>
      <c r="E8" s="212"/>
      <c r="F8" s="212" t="s">
        <v>830</v>
      </c>
      <c r="G8" s="212"/>
      <c r="H8" s="201"/>
      <c r="I8" s="213" t="s">
        <v>831</v>
      </c>
      <c r="J8" s="213"/>
      <c r="K8" s="211" t="s">
        <v>832</v>
      </c>
      <c r="L8" s="211"/>
      <c r="M8" s="214" t="s">
        <v>833</v>
      </c>
      <c r="N8" s="214"/>
    </row>
    <row r="9" customFormat="false" ht="6.75" hidden="false" customHeight="true" outlineLevel="0" collapsed="false">
      <c r="A9" s="201"/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</row>
    <row r="10" customFormat="false" ht="30" hidden="false" customHeight="true" outlineLevel="0" collapsed="false">
      <c r="A10" s="215" t="s">
        <v>834</v>
      </c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</row>
    <row r="11" customFormat="false" ht="21.75" hidden="false" customHeight="true" outlineLevel="0" collapsed="false">
      <c r="B11" s="216" t="s">
        <v>835</v>
      </c>
      <c r="C11" s="216"/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</row>
    <row r="12" customFormat="false" ht="19.5" hidden="false" customHeight="true" outlineLevel="0" collapsed="false">
      <c r="B12" s="217" t="s">
        <v>836</v>
      </c>
      <c r="C12" s="217"/>
      <c r="D12" s="217" t="s">
        <v>837</v>
      </c>
      <c r="E12" s="217"/>
      <c r="F12" s="217" t="s">
        <v>838</v>
      </c>
      <c r="G12" s="217"/>
      <c r="H12" s="217" t="s">
        <v>839</v>
      </c>
      <c r="I12" s="217"/>
      <c r="J12" s="217" t="s">
        <v>840</v>
      </c>
      <c r="K12" s="217"/>
      <c r="L12" s="217" t="s">
        <v>841</v>
      </c>
      <c r="M12" s="217"/>
    </row>
    <row r="13" customFormat="false" ht="16.5" hidden="false" customHeight="true" outlineLevel="0" collapsed="false">
      <c r="B13" s="218" t="s">
        <v>842</v>
      </c>
      <c r="C13" s="218"/>
      <c r="D13" s="219" t="n">
        <v>360000</v>
      </c>
      <c r="E13" s="219"/>
      <c r="F13" s="220" t="n">
        <v>67.0437759684951</v>
      </c>
      <c r="G13" s="220"/>
      <c r="H13" s="219" t="n">
        <v>311449.301</v>
      </c>
      <c r="I13" s="219"/>
      <c r="J13" s="219" t="n">
        <v>24275.3495</v>
      </c>
      <c r="K13" s="219"/>
      <c r="L13" s="221" t="n">
        <v>-155724.6505</v>
      </c>
      <c r="M13" s="221"/>
    </row>
    <row r="14" customFormat="false" ht="16.5" hidden="false" customHeight="true" outlineLevel="0" collapsed="false">
      <c r="B14" s="222" t="s">
        <v>843</v>
      </c>
      <c r="C14" s="222"/>
      <c r="D14" s="223" t="n">
        <v>327272.727272727</v>
      </c>
      <c r="E14" s="223"/>
      <c r="F14" s="224" t="n">
        <v>60.9488872440865</v>
      </c>
      <c r="G14" s="224"/>
      <c r="H14" s="223" t="n">
        <v>278722.028272727</v>
      </c>
      <c r="I14" s="223"/>
      <c r="J14" s="223" t="n">
        <v>26702.88445</v>
      </c>
      <c r="K14" s="223"/>
      <c r="L14" s="225" t="n">
        <v>-153297.11555</v>
      </c>
      <c r="M14" s="225"/>
    </row>
    <row r="15" customFormat="false" ht="16.5" hidden="false" customHeight="true" outlineLevel="0" collapsed="false">
      <c r="B15" s="218" t="s">
        <v>844</v>
      </c>
      <c r="C15" s="218"/>
      <c r="D15" s="219" t="n">
        <v>300000</v>
      </c>
      <c r="E15" s="219"/>
      <c r="F15" s="220" t="n">
        <v>55.8698133070793</v>
      </c>
      <c r="G15" s="220"/>
      <c r="H15" s="219" t="n">
        <v>251449.301</v>
      </c>
      <c r="I15" s="219"/>
      <c r="J15" s="219" t="n">
        <v>29130.4194</v>
      </c>
      <c r="K15" s="219"/>
      <c r="L15" s="221" t="n">
        <v>-150869.5806</v>
      </c>
      <c r="M15" s="221"/>
    </row>
    <row r="16" customFormat="false" ht="16.5" hidden="false" customHeight="true" outlineLevel="0" collapsed="false">
      <c r="B16" s="226" t="s">
        <v>845</v>
      </c>
      <c r="C16" s="226"/>
      <c r="D16" s="227" t="n">
        <v>297692.307692308</v>
      </c>
      <c r="E16" s="227"/>
      <c r="F16" s="228" t="n">
        <v>55.4400455124095</v>
      </c>
      <c r="G16" s="228"/>
      <c r="H16" s="227" t="n">
        <v>249141.608692308</v>
      </c>
      <c r="I16" s="227"/>
      <c r="J16" s="227" t="n">
        <v>29356.2366046512</v>
      </c>
      <c r="K16" s="227"/>
      <c r="L16" s="229" t="n">
        <v>-150643.763395349</v>
      </c>
      <c r="M16" s="229"/>
    </row>
    <row r="17" customFormat="false" ht="16.5" hidden="false" customHeight="true" outlineLevel="0" collapsed="false">
      <c r="B17" s="218" t="s">
        <v>846</v>
      </c>
      <c r="C17" s="218"/>
      <c r="D17" s="219" t="n">
        <v>276923.076923077</v>
      </c>
      <c r="E17" s="219"/>
      <c r="F17" s="220" t="n">
        <v>51.5721353603809</v>
      </c>
      <c r="G17" s="220"/>
      <c r="H17" s="219" t="n">
        <v>228372.377923077</v>
      </c>
      <c r="I17" s="219"/>
      <c r="J17" s="219" t="n">
        <v>31557.95435</v>
      </c>
      <c r="K17" s="219"/>
      <c r="L17" s="221" t="n">
        <v>-148442.04565</v>
      </c>
      <c r="M17" s="221"/>
    </row>
    <row r="18" customFormat="false" ht="16.5" hidden="false" customHeight="true" outlineLevel="0" collapsed="false">
      <c r="B18" s="222" t="s">
        <v>847</v>
      </c>
      <c r="C18" s="222"/>
      <c r="D18" s="223" t="n">
        <v>257142.857142857</v>
      </c>
      <c r="E18" s="223"/>
      <c r="F18" s="224" t="n">
        <v>47.888411406068</v>
      </c>
      <c r="G18" s="224"/>
      <c r="H18" s="223" t="n">
        <v>208592.158142857</v>
      </c>
      <c r="I18" s="223"/>
      <c r="J18" s="223" t="n">
        <v>33985.4893</v>
      </c>
      <c r="K18" s="223"/>
      <c r="L18" s="225" t="n">
        <v>-146014.5107</v>
      </c>
      <c r="M18" s="225"/>
    </row>
    <row r="19" customFormat="false" ht="16.5" hidden="false" customHeight="true" outlineLevel="0" collapsed="false">
      <c r="B19" s="218" t="s">
        <v>848</v>
      </c>
      <c r="C19" s="218"/>
      <c r="D19" s="219" t="n">
        <v>240000</v>
      </c>
      <c r="E19" s="219"/>
      <c r="F19" s="220" t="n">
        <v>44.6958506456634</v>
      </c>
      <c r="G19" s="220"/>
      <c r="H19" s="219" t="n">
        <v>191449.301</v>
      </c>
      <c r="I19" s="219"/>
      <c r="J19" s="219" t="n">
        <v>36413.02425</v>
      </c>
      <c r="K19" s="219"/>
      <c r="L19" s="221" t="n">
        <v>-143586.97575</v>
      </c>
      <c r="M19" s="221"/>
    </row>
    <row r="20" customFormat="false" ht="16.5" hidden="false" customHeight="true" outlineLevel="0" collapsed="false">
      <c r="B20" s="222" t="s">
        <v>849</v>
      </c>
      <c r="C20" s="222"/>
      <c r="D20" s="223" t="n">
        <v>225000</v>
      </c>
      <c r="E20" s="223"/>
      <c r="F20" s="224" t="n">
        <v>41.9023599803095</v>
      </c>
      <c r="G20" s="224"/>
      <c r="H20" s="223" t="n">
        <v>176449.301</v>
      </c>
      <c r="I20" s="223"/>
      <c r="J20" s="223" t="n">
        <v>38840.5592</v>
      </c>
      <c r="K20" s="223"/>
      <c r="L20" s="225" t="n">
        <v>-141159.4408</v>
      </c>
      <c r="M20" s="225"/>
    </row>
    <row r="21" customFormat="false" ht="6.75" hidden="false" customHeight="true" outlineLevel="0" collapsed="false">
      <c r="A21" s="201"/>
      <c r="B21" s="201"/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</row>
    <row r="22" customFormat="false" ht="21.75" hidden="false" customHeight="true" outlineLevel="0" collapsed="false">
      <c r="B22" s="202" t="s">
        <v>850</v>
      </c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</row>
    <row r="23" customFormat="false" ht="19.5" hidden="false" customHeight="true" outlineLevel="0" collapsed="false">
      <c r="B23" s="217" t="s">
        <v>851</v>
      </c>
      <c r="C23" s="217"/>
      <c r="D23" s="217" t="s">
        <v>852</v>
      </c>
      <c r="E23" s="217"/>
      <c r="F23" s="217" t="s">
        <v>853</v>
      </c>
      <c r="G23" s="217"/>
      <c r="H23" s="217" t="s">
        <v>854</v>
      </c>
      <c r="I23" s="217"/>
      <c r="J23" s="217" t="s">
        <v>855</v>
      </c>
      <c r="K23" s="217"/>
      <c r="L23" s="217"/>
    </row>
    <row r="24" customFormat="false" ht="16.5" hidden="false" customHeight="true" outlineLevel="0" collapsed="false">
      <c r="B24" s="230" t="s">
        <v>856</v>
      </c>
      <c r="C24" s="230"/>
      <c r="D24" s="220" t="n">
        <v>99.2307692307692</v>
      </c>
      <c r="E24" s="220"/>
      <c r="F24" s="231" t="n">
        <v>90.1890409339086</v>
      </c>
      <c r="G24" s="231"/>
      <c r="H24" s="219" t="n">
        <v>2160000</v>
      </c>
      <c r="I24" s="219"/>
      <c r="J24" s="232" t="s">
        <v>857</v>
      </c>
      <c r="K24" s="232"/>
      <c r="L24" s="232"/>
    </row>
    <row r="25" customFormat="false" ht="16.5" hidden="false" customHeight="true" outlineLevel="0" collapsed="false">
      <c r="B25" s="233" t="s">
        <v>858</v>
      </c>
      <c r="C25" s="233"/>
      <c r="D25" s="224" t="n">
        <v>74.4230769230769</v>
      </c>
      <c r="E25" s="224"/>
      <c r="F25" s="234" t="n">
        <v>65.3813486262163</v>
      </c>
      <c r="G25" s="234"/>
      <c r="H25" s="223" t="n">
        <v>2160000</v>
      </c>
      <c r="I25" s="223"/>
      <c r="J25" s="235" t="s">
        <v>857</v>
      </c>
      <c r="K25" s="235"/>
      <c r="L25" s="235"/>
    </row>
    <row r="26" customFormat="false" ht="16.5" hidden="false" customHeight="true" outlineLevel="0" collapsed="false">
      <c r="B26" s="230" t="s">
        <v>859</v>
      </c>
      <c r="C26" s="230"/>
      <c r="D26" s="220" t="n">
        <v>59.5384615384615</v>
      </c>
      <c r="E26" s="220"/>
      <c r="F26" s="231" t="n">
        <v>50.4967332416009</v>
      </c>
      <c r="G26" s="231"/>
      <c r="H26" s="219" t="n">
        <v>2160000</v>
      </c>
      <c r="I26" s="219"/>
      <c r="J26" s="232" t="s">
        <v>857</v>
      </c>
      <c r="K26" s="232"/>
      <c r="L26" s="232"/>
    </row>
    <row r="27" customFormat="false" ht="16.5" hidden="false" customHeight="true" outlineLevel="0" collapsed="false">
      <c r="B27" s="236" t="s">
        <v>860</v>
      </c>
      <c r="C27" s="236"/>
      <c r="D27" s="237" t="n">
        <v>55.4400455124095</v>
      </c>
      <c r="E27" s="237"/>
      <c r="F27" s="238" t="n">
        <v>46.3983172155488</v>
      </c>
      <c r="G27" s="238"/>
      <c r="H27" s="239" t="n">
        <v>2160000</v>
      </c>
      <c r="I27" s="239"/>
      <c r="J27" s="240" t="s">
        <v>857</v>
      </c>
      <c r="K27" s="240"/>
      <c r="L27" s="240"/>
    </row>
    <row r="28" customFormat="false" ht="16.5" hidden="false" customHeight="true" outlineLevel="0" collapsed="false">
      <c r="B28" s="230" t="s">
        <v>861</v>
      </c>
      <c r="C28" s="230"/>
      <c r="D28" s="220" t="n">
        <v>49.6153846153846</v>
      </c>
      <c r="E28" s="220"/>
      <c r="F28" s="231" t="n">
        <v>40.5736563185239</v>
      </c>
      <c r="G28" s="231"/>
      <c r="H28" s="219" t="n">
        <v>2160000</v>
      </c>
      <c r="I28" s="219"/>
      <c r="J28" s="232" t="s">
        <v>857</v>
      </c>
      <c r="K28" s="232"/>
      <c r="L28" s="232"/>
    </row>
    <row r="29" customFormat="false" ht="16.5" hidden="false" customHeight="true" outlineLevel="0" collapsed="false">
      <c r="B29" s="233" t="s">
        <v>862</v>
      </c>
      <c r="C29" s="233"/>
      <c r="D29" s="224" t="n">
        <v>42.5274725274725</v>
      </c>
      <c r="E29" s="224"/>
      <c r="F29" s="234" t="n">
        <v>33.4857442306119</v>
      </c>
      <c r="G29" s="234"/>
      <c r="H29" s="223" t="n">
        <v>2160000</v>
      </c>
      <c r="I29" s="223"/>
      <c r="J29" s="235" t="s">
        <v>857</v>
      </c>
      <c r="K29" s="235"/>
      <c r="L29" s="235"/>
    </row>
    <row r="30" customFormat="false" ht="16.5" hidden="false" customHeight="true" outlineLevel="0" collapsed="false">
      <c r="B30" s="230" t="s">
        <v>863</v>
      </c>
      <c r="C30" s="230"/>
      <c r="D30" s="220" t="n">
        <v>37.2115384615385</v>
      </c>
      <c r="E30" s="220"/>
      <c r="F30" s="231" t="n">
        <v>28.1698101646778</v>
      </c>
      <c r="G30" s="231"/>
      <c r="H30" s="219" t="n">
        <v>2160000</v>
      </c>
      <c r="I30" s="219"/>
      <c r="J30" s="232" t="s">
        <v>857</v>
      </c>
      <c r="K30" s="232"/>
      <c r="L30" s="232"/>
    </row>
    <row r="31" customFormat="false" ht="16.5" hidden="false" customHeight="true" outlineLevel="0" collapsed="false">
      <c r="B31" s="233" t="s">
        <v>864</v>
      </c>
      <c r="C31" s="233"/>
      <c r="D31" s="224" t="n">
        <v>29.7692307692308</v>
      </c>
      <c r="E31" s="224"/>
      <c r="F31" s="234" t="n">
        <v>20.7275024723701</v>
      </c>
      <c r="G31" s="234"/>
      <c r="H31" s="223" t="n">
        <v>2160000</v>
      </c>
      <c r="I31" s="223"/>
      <c r="J31" s="241" t="s">
        <v>865</v>
      </c>
      <c r="K31" s="241"/>
      <c r="L31" s="241"/>
    </row>
    <row r="32" customFormat="false" ht="6.75" hidden="false" customHeight="true" outlineLevel="0" collapsed="false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</row>
    <row r="33" customFormat="false" ht="21.75" hidden="false" customHeight="true" outlineLevel="0" collapsed="false">
      <c r="B33" s="216" t="s">
        <v>866</v>
      </c>
      <c r="C33" s="216"/>
      <c r="D33" s="216"/>
      <c r="E33" s="216"/>
      <c r="F33" s="216"/>
      <c r="G33" s="216"/>
      <c r="H33" s="216"/>
      <c r="I33" s="216"/>
      <c r="J33" s="216"/>
      <c r="K33" s="216"/>
      <c r="L33" s="216"/>
      <c r="M33" s="216"/>
      <c r="N33" s="216"/>
    </row>
    <row r="34" customFormat="false" ht="19.5" hidden="false" customHeight="true" outlineLevel="0" collapsed="false">
      <c r="B34" s="217" t="s">
        <v>867</v>
      </c>
      <c r="C34" s="217"/>
      <c r="D34" s="217"/>
      <c r="E34" s="217"/>
      <c r="F34" s="217" t="s">
        <v>13</v>
      </c>
      <c r="G34" s="217"/>
      <c r="H34" s="217" t="s">
        <v>6</v>
      </c>
      <c r="I34" s="217"/>
      <c r="J34" s="217" t="s">
        <v>868</v>
      </c>
      <c r="K34" s="217"/>
      <c r="L34" s="217"/>
      <c r="M34" s="217"/>
    </row>
    <row r="35" customFormat="false" ht="19.5" hidden="false" customHeight="true" outlineLevel="0" collapsed="false">
      <c r="A35" s="201"/>
      <c r="B35" s="242" t="s">
        <v>869</v>
      </c>
      <c r="C35" s="242"/>
      <c r="D35" s="242"/>
      <c r="E35" s="242"/>
      <c r="F35" s="243" t="n">
        <v>10959.9906</v>
      </c>
      <c r="G35" s="243"/>
      <c r="H35" s="244" t="s">
        <v>870</v>
      </c>
      <c r="I35" s="244"/>
      <c r="J35" s="245" t="s">
        <v>871</v>
      </c>
      <c r="K35" s="245"/>
      <c r="L35" s="245"/>
      <c r="M35" s="245"/>
      <c r="N35" s="201"/>
    </row>
    <row r="36" customFormat="false" ht="19.5" hidden="false" customHeight="true" outlineLevel="0" collapsed="false">
      <c r="A36" s="201"/>
      <c r="B36" s="246" t="s">
        <v>872</v>
      </c>
      <c r="C36" s="246"/>
      <c r="D36" s="246"/>
      <c r="E36" s="246"/>
      <c r="F36" s="247" t="n">
        <v>3920.63</v>
      </c>
      <c r="G36" s="247"/>
      <c r="H36" s="248" t="s">
        <v>873</v>
      </c>
      <c r="I36" s="248"/>
      <c r="J36" s="249" t="s">
        <v>874</v>
      </c>
      <c r="K36" s="249"/>
      <c r="L36" s="249"/>
      <c r="M36" s="249"/>
      <c r="N36" s="201"/>
    </row>
    <row r="37" customFormat="false" ht="19.5" hidden="false" customHeight="true" outlineLevel="0" collapsed="false">
      <c r="A37" s="201"/>
      <c r="B37" s="250" t="s">
        <v>875</v>
      </c>
      <c r="C37" s="250"/>
      <c r="D37" s="250"/>
      <c r="E37" s="250"/>
      <c r="F37" s="251" t="n">
        <v>67871.2745</v>
      </c>
      <c r="G37" s="251"/>
      <c r="H37" s="248" t="s">
        <v>873</v>
      </c>
      <c r="I37" s="248"/>
      <c r="J37" s="245" t="s">
        <v>876</v>
      </c>
      <c r="K37" s="245"/>
      <c r="L37" s="245"/>
      <c r="M37" s="245"/>
      <c r="N37" s="201"/>
    </row>
    <row r="38" customFormat="false" ht="19.5" hidden="false" customHeight="true" outlineLevel="0" collapsed="false">
      <c r="A38" s="201"/>
      <c r="B38" s="252" t="s">
        <v>877</v>
      </c>
      <c r="C38" s="252"/>
      <c r="D38" s="252"/>
      <c r="E38" s="252"/>
      <c r="F38" s="253" t="n">
        <v>133146.4546</v>
      </c>
      <c r="G38" s="253"/>
      <c r="H38" s="217" t="s">
        <v>878</v>
      </c>
      <c r="I38" s="217"/>
      <c r="J38" s="249" t="s">
        <v>879</v>
      </c>
      <c r="K38" s="249"/>
      <c r="L38" s="249"/>
      <c r="M38" s="249"/>
      <c r="N38" s="201"/>
    </row>
    <row r="39" customFormat="false" ht="19.5" hidden="false" customHeight="true" outlineLevel="0" collapsed="false">
      <c r="A39" s="201"/>
      <c r="B39" s="254" t="s">
        <v>880</v>
      </c>
      <c r="C39" s="254"/>
      <c r="D39" s="254"/>
      <c r="E39" s="254"/>
      <c r="F39" s="255" t="n">
        <v>120317.47</v>
      </c>
      <c r="G39" s="255"/>
      <c r="H39" s="217" t="s">
        <v>878</v>
      </c>
      <c r="I39" s="217"/>
      <c r="J39" s="245" t="s">
        <v>881</v>
      </c>
      <c r="K39" s="245"/>
      <c r="L39" s="245"/>
      <c r="M39" s="245"/>
      <c r="N39" s="201"/>
    </row>
    <row r="40" customFormat="false" ht="19.5" hidden="false" customHeight="true" outlineLevel="0" collapsed="false">
      <c r="A40" s="201"/>
      <c r="B40" s="256" t="s">
        <v>882</v>
      </c>
      <c r="C40" s="256"/>
      <c r="D40" s="256"/>
      <c r="E40" s="256"/>
      <c r="F40" s="257" t="n">
        <v>324588.4293</v>
      </c>
      <c r="G40" s="257"/>
      <c r="H40" s="258" t="s">
        <v>883</v>
      </c>
      <c r="I40" s="258"/>
      <c r="J40" s="249" t="s">
        <v>884</v>
      </c>
      <c r="K40" s="249"/>
      <c r="L40" s="249"/>
      <c r="M40" s="249"/>
      <c r="N40" s="201"/>
    </row>
    <row r="41" customFormat="false" ht="19.5" hidden="false" customHeight="true" outlineLevel="0" collapsed="false">
      <c r="A41" s="259"/>
      <c r="B41" s="260" t="s">
        <v>885</v>
      </c>
      <c r="C41" s="260"/>
      <c r="D41" s="260"/>
      <c r="E41" s="260"/>
      <c r="F41" s="261" t="n">
        <v>660804.249</v>
      </c>
      <c r="G41" s="261"/>
      <c r="H41" s="259"/>
      <c r="I41" s="259"/>
      <c r="J41" s="259"/>
      <c r="K41" s="259"/>
      <c r="L41" s="259"/>
      <c r="M41" s="259"/>
      <c r="N41" s="259"/>
    </row>
    <row r="42" customFormat="false" ht="6.75" hidden="false" customHeight="true" outlineLevel="0" collapsed="false">
      <c r="A42" s="201"/>
      <c r="B42" s="201"/>
      <c r="C42" s="201"/>
      <c r="D42" s="201"/>
      <c r="E42" s="201"/>
      <c r="F42" s="201"/>
      <c r="G42" s="201"/>
      <c r="H42" s="201"/>
      <c r="I42" s="201"/>
      <c r="J42" s="201"/>
      <c r="K42" s="201"/>
      <c r="L42" s="201"/>
      <c r="M42" s="201"/>
      <c r="N42" s="201"/>
    </row>
    <row r="43" customFormat="false" ht="21.75" hidden="false" customHeight="true" outlineLevel="0" collapsed="false">
      <c r="B43" s="202" t="s">
        <v>886</v>
      </c>
      <c r="C43" s="202"/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</row>
    <row r="44" customFormat="false" ht="19.5" hidden="false" customHeight="true" outlineLevel="0" collapsed="false">
      <c r="B44" s="217" t="s">
        <v>887</v>
      </c>
      <c r="C44" s="217"/>
      <c r="D44" s="217" t="s">
        <v>888</v>
      </c>
      <c r="E44" s="217"/>
      <c r="F44" s="217" t="s">
        <v>889</v>
      </c>
      <c r="G44" s="217"/>
      <c r="H44" s="217" t="s">
        <v>890</v>
      </c>
      <c r="I44" s="217"/>
      <c r="J44" s="217" t="s">
        <v>891</v>
      </c>
      <c r="K44" s="217"/>
      <c r="L44" s="217"/>
      <c r="M44" s="217"/>
    </row>
    <row r="45" customFormat="false" ht="16.5" hidden="false" customHeight="true" outlineLevel="0" collapsed="false">
      <c r="A45" s="201"/>
      <c r="B45" s="230" t="s">
        <v>892</v>
      </c>
      <c r="C45" s="230"/>
      <c r="D45" s="219" t="n">
        <v>88273.988</v>
      </c>
      <c r="E45" s="219"/>
      <c r="F45" s="262" t="n">
        <v>-14730.992</v>
      </c>
      <c r="G45" s="262"/>
      <c r="H45" s="219" t="n">
        <v>353095.952</v>
      </c>
      <c r="I45" s="219"/>
      <c r="J45" s="219" t="n">
        <v>8827.3988</v>
      </c>
      <c r="K45" s="219"/>
      <c r="L45" s="263"/>
      <c r="M45" s="263"/>
      <c r="N45" s="201"/>
    </row>
    <row r="46" customFormat="false" ht="16.5" hidden="false" customHeight="true" outlineLevel="0" collapsed="false">
      <c r="A46" s="201"/>
      <c r="B46" s="233" t="s">
        <v>893</v>
      </c>
      <c r="C46" s="233"/>
      <c r="D46" s="223" t="n">
        <v>97101.3868</v>
      </c>
      <c r="E46" s="223"/>
      <c r="F46" s="264" t="n">
        <v>-5903.59319999997</v>
      </c>
      <c r="G46" s="264"/>
      <c r="H46" s="223" t="n">
        <v>344268.5532</v>
      </c>
      <c r="I46" s="223"/>
      <c r="J46" s="223" t="n">
        <v>9710.13868</v>
      </c>
      <c r="K46" s="223"/>
      <c r="L46" s="265"/>
      <c r="M46" s="265"/>
      <c r="N46" s="201"/>
    </row>
    <row r="47" customFormat="false" ht="16.5" hidden="false" customHeight="true" outlineLevel="0" collapsed="false">
      <c r="A47" s="201"/>
      <c r="B47" s="236" t="s">
        <v>894</v>
      </c>
      <c r="C47" s="236"/>
      <c r="D47" s="239" t="n">
        <v>103004.98</v>
      </c>
      <c r="E47" s="239"/>
      <c r="F47" s="266" t="n">
        <v>0</v>
      </c>
      <c r="G47" s="266"/>
      <c r="H47" s="239" t="n">
        <v>338364.96</v>
      </c>
      <c r="I47" s="239"/>
      <c r="J47" s="239" t="n">
        <v>10300.498</v>
      </c>
      <c r="K47" s="239"/>
      <c r="L47" s="267"/>
      <c r="M47" s="267"/>
      <c r="N47" s="201"/>
    </row>
    <row r="48" customFormat="false" ht="16.5" hidden="false" customHeight="true" outlineLevel="0" collapsed="false">
      <c r="A48" s="201"/>
      <c r="B48" s="233" t="s">
        <v>895</v>
      </c>
      <c r="C48" s="233"/>
      <c r="D48" s="223" t="n">
        <v>110342.485</v>
      </c>
      <c r="E48" s="223"/>
      <c r="F48" s="268" t="n">
        <v>7337.50500000002</v>
      </c>
      <c r="G48" s="268"/>
      <c r="H48" s="223" t="n">
        <v>331027.455</v>
      </c>
      <c r="I48" s="223"/>
      <c r="J48" s="223" t="n">
        <v>11034.2485</v>
      </c>
      <c r="K48" s="223"/>
      <c r="L48" s="265"/>
      <c r="M48" s="265"/>
      <c r="N48" s="201"/>
    </row>
    <row r="49" customFormat="false" ht="16.5" hidden="false" customHeight="true" outlineLevel="0" collapsed="false">
      <c r="A49" s="201"/>
      <c r="B49" s="230" t="s">
        <v>896</v>
      </c>
      <c r="C49" s="230"/>
      <c r="D49" s="219" t="n">
        <v>119169.8838</v>
      </c>
      <c r="E49" s="219"/>
      <c r="F49" s="269" t="n">
        <v>16164.9038</v>
      </c>
      <c r="G49" s="269"/>
      <c r="H49" s="219" t="n">
        <v>322200.0562</v>
      </c>
      <c r="I49" s="219"/>
      <c r="J49" s="219" t="n">
        <v>11916.98838</v>
      </c>
      <c r="K49" s="219"/>
      <c r="L49" s="263"/>
      <c r="M49" s="263"/>
      <c r="N49" s="201"/>
    </row>
    <row r="50" customFormat="false" ht="16.5" hidden="false" customHeight="true" outlineLevel="0" collapsed="false">
      <c r="A50" s="201"/>
      <c r="B50" s="233" t="s">
        <v>897</v>
      </c>
      <c r="C50" s="233"/>
      <c r="D50" s="223" t="n">
        <v>132410.982</v>
      </c>
      <c r="E50" s="223"/>
      <c r="F50" s="268" t="n">
        <v>29406.002</v>
      </c>
      <c r="G50" s="268"/>
      <c r="H50" s="223" t="n">
        <v>308958.958</v>
      </c>
      <c r="I50" s="223"/>
      <c r="J50" s="223" t="n">
        <v>13241.0982</v>
      </c>
      <c r="K50" s="223"/>
      <c r="L50" s="265"/>
      <c r="M50" s="265"/>
      <c r="N50" s="201"/>
    </row>
    <row r="51" customFormat="false" ht="16.5" hidden="false" customHeight="true" outlineLevel="0" collapsed="false">
      <c r="A51" s="201"/>
      <c r="B51" s="230" t="s">
        <v>898</v>
      </c>
      <c r="C51" s="230"/>
      <c r="D51" s="219" t="n">
        <v>154479.479</v>
      </c>
      <c r="E51" s="219"/>
      <c r="F51" s="269" t="n">
        <v>51474.499</v>
      </c>
      <c r="G51" s="269"/>
      <c r="H51" s="219" t="n">
        <v>286890.461</v>
      </c>
      <c r="I51" s="219"/>
      <c r="J51" s="219" t="n">
        <v>15447.9479</v>
      </c>
      <c r="K51" s="219"/>
      <c r="L51" s="263"/>
      <c r="M51" s="263"/>
      <c r="N51" s="201"/>
    </row>
    <row r="52" customFormat="false" ht="6.75" hidden="false" customHeight="true" outlineLevel="0" collapsed="false">
      <c r="A52" s="201"/>
      <c r="B52" s="201"/>
      <c r="C52" s="201"/>
      <c r="D52" s="201"/>
      <c r="E52" s="201"/>
      <c r="F52" s="201"/>
      <c r="G52" s="201"/>
      <c r="H52" s="201"/>
      <c r="I52" s="201"/>
      <c r="J52" s="201"/>
      <c r="K52" s="201"/>
      <c r="L52" s="201"/>
      <c r="M52" s="201"/>
      <c r="N52" s="201"/>
    </row>
    <row r="53" customFormat="false" ht="21.75" hidden="false" customHeight="true" outlineLevel="0" collapsed="false">
      <c r="B53" s="202" t="s">
        <v>899</v>
      </c>
      <c r="C53" s="202"/>
      <c r="D53" s="202"/>
      <c r="E53" s="202"/>
      <c r="F53" s="202"/>
      <c r="G53" s="202"/>
      <c r="H53" s="202"/>
      <c r="I53" s="202"/>
      <c r="J53" s="202"/>
      <c r="K53" s="202"/>
      <c r="L53" s="202"/>
      <c r="M53" s="202"/>
      <c r="N53" s="202"/>
    </row>
    <row r="54" customFormat="false" ht="19.5" hidden="false" customHeight="true" outlineLevel="0" collapsed="false">
      <c r="B54" s="217" t="s">
        <v>900</v>
      </c>
      <c r="C54" s="217"/>
      <c r="D54" s="217" t="s">
        <v>901</v>
      </c>
      <c r="E54" s="217"/>
      <c r="F54" s="217" t="s">
        <v>902</v>
      </c>
      <c r="G54" s="217"/>
      <c r="H54" s="217" t="s">
        <v>903</v>
      </c>
      <c r="I54" s="217"/>
      <c r="J54" s="217" t="s">
        <v>904</v>
      </c>
      <c r="K54" s="217"/>
      <c r="L54" s="217" t="s">
        <v>905</v>
      </c>
      <c r="M54" s="217"/>
    </row>
    <row r="55" customFormat="false" ht="16.5" hidden="false" customHeight="true" outlineLevel="0" collapsed="false">
      <c r="A55" s="201"/>
      <c r="B55" s="230" t="s">
        <v>906</v>
      </c>
      <c r="C55" s="230"/>
      <c r="D55" s="270" t="n">
        <v>1</v>
      </c>
      <c r="E55" s="270"/>
      <c r="F55" s="219" t="n">
        <v>1144</v>
      </c>
      <c r="G55" s="219"/>
      <c r="H55" s="219" t="n">
        <v>1144</v>
      </c>
      <c r="I55" s="219"/>
      <c r="J55" s="262" t="n">
        <v>-178856</v>
      </c>
      <c r="K55" s="262"/>
      <c r="L55" s="271" t="n">
        <v>0.00635555555555556</v>
      </c>
      <c r="M55" s="271"/>
      <c r="N55" s="201"/>
    </row>
    <row r="56" customFormat="false" ht="16.5" hidden="false" customHeight="true" outlineLevel="0" collapsed="false">
      <c r="A56" s="201"/>
      <c r="B56" s="233" t="s">
        <v>907</v>
      </c>
      <c r="C56" s="233"/>
      <c r="D56" s="272" t="n">
        <v>3</v>
      </c>
      <c r="E56" s="272"/>
      <c r="F56" s="223" t="n">
        <v>6446.01</v>
      </c>
      <c r="G56" s="223"/>
      <c r="H56" s="223" t="n">
        <v>6446.01</v>
      </c>
      <c r="I56" s="223"/>
      <c r="J56" s="264" t="n">
        <v>-173553.99</v>
      </c>
      <c r="K56" s="264"/>
      <c r="L56" s="273" t="n">
        <v>0.0358111666666667</v>
      </c>
      <c r="M56" s="273"/>
      <c r="N56" s="201"/>
    </row>
    <row r="57" customFormat="false" ht="16.5" hidden="false" customHeight="true" outlineLevel="0" collapsed="false">
      <c r="A57" s="201"/>
      <c r="B57" s="230" t="s">
        <v>908</v>
      </c>
      <c r="C57" s="230"/>
      <c r="D57" s="270" t="n">
        <v>3</v>
      </c>
      <c r="E57" s="270"/>
      <c r="F57" s="219" t="n">
        <v>3069</v>
      </c>
      <c r="G57" s="219"/>
      <c r="H57" s="219" t="n">
        <v>3069</v>
      </c>
      <c r="I57" s="219"/>
      <c r="J57" s="262" t="n">
        <v>-176931</v>
      </c>
      <c r="K57" s="262"/>
      <c r="L57" s="271" t="n">
        <v>0.01705</v>
      </c>
      <c r="M57" s="271"/>
      <c r="N57" s="201"/>
    </row>
    <row r="58" customFormat="false" ht="16.5" hidden="false" customHeight="true" outlineLevel="0" collapsed="false">
      <c r="A58" s="201"/>
      <c r="B58" s="233" t="s">
        <v>909</v>
      </c>
      <c r="C58" s="233"/>
      <c r="D58" s="272" t="n">
        <v>15</v>
      </c>
      <c r="E58" s="272"/>
      <c r="F58" s="223" t="n">
        <v>64515.82</v>
      </c>
      <c r="G58" s="223"/>
      <c r="H58" s="223" t="n">
        <v>64515.82</v>
      </c>
      <c r="I58" s="223"/>
      <c r="J58" s="264" t="n">
        <v>-115484.18</v>
      </c>
      <c r="K58" s="264"/>
      <c r="L58" s="273" t="n">
        <v>0.358421222222222</v>
      </c>
      <c r="M58" s="273"/>
      <c r="N58" s="201"/>
    </row>
    <row r="59" customFormat="false" ht="16.5" hidden="false" customHeight="true" outlineLevel="0" collapsed="false">
      <c r="A59" s="201"/>
      <c r="B59" s="230" t="s">
        <v>910</v>
      </c>
      <c r="C59" s="230"/>
      <c r="D59" s="270" t="n">
        <v>4</v>
      </c>
      <c r="E59" s="270"/>
      <c r="F59" s="219" t="n">
        <v>86054.99</v>
      </c>
      <c r="G59" s="219"/>
      <c r="H59" s="219" t="n">
        <v>85591.82</v>
      </c>
      <c r="I59" s="219"/>
      <c r="J59" s="262" t="n">
        <v>-94408.18</v>
      </c>
      <c r="K59" s="262"/>
      <c r="L59" s="271" t="n">
        <v>0.475510111111111</v>
      </c>
      <c r="M59" s="271"/>
      <c r="N59" s="201"/>
    </row>
    <row r="60" customFormat="false" ht="16.5" hidden="false" customHeight="true" outlineLevel="0" collapsed="false">
      <c r="A60" s="201"/>
      <c r="B60" s="233" t="s">
        <v>911</v>
      </c>
      <c r="C60" s="233"/>
      <c r="D60" s="272" t="n">
        <v>1</v>
      </c>
      <c r="E60" s="272"/>
      <c r="F60" s="223" t="n">
        <v>2449.7</v>
      </c>
      <c r="G60" s="223"/>
      <c r="H60" s="223" t="n">
        <v>0</v>
      </c>
      <c r="I60" s="223"/>
      <c r="J60" s="264" t="n">
        <v>-180000</v>
      </c>
      <c r="K60" s="264"/>
      <c r="L60" s="273" t="n">
        <v>0</v>
      </c>
      <c r="M60" s="273"/>
      <c r="N60" s="201"/>
    </row>
    <row r="61" customFormat="false" ht="16.5" hidden="false" customHeight="true" outlineLevel="0" collapsed="false">
      <c r="A61" s="201"/>
      <c r="B61" s="230" t="s">
        <v>912</v>
      </c>
      <c r="C61" s="230"/>
      <c r="D61" s="270" t="n">
        <v>1</v>
      </c>
      <c r="E61" s="270"/>
      <c r="F61" s="219" t="n">
        <v>715</v>
      </c>
      <c r="G61" s="219"/>
      <c r="H61" s="219" t="n">
        <v>715</v>
      </c>
      <c r="I61" s="219"/>
      <c r="J61" s="262" t="n">
        <v>-179285</v>
      </c>
      <c r="K61" s="262"/>
      <c r="L61" s="271" t="n">
        <v>0.00397222222222222</v>
      </c>
      <c r="M61" s="271"/>
      <c r="N61" s="201"/>
    </row>
    <row r="62" customFormat="false" ht="16.5" hidden="false" customHeight="true" outlineLevel="0" collapsed="false">
      <c r="A62" s="201"/>
      <c r="B62" s="233" t="s">
        <v>913</v>
      </c>
      <c r="C62" s="233"/>
      <c r="D62" s="272" t="n">
        <v>7</v>
      </c>
      <c r="E62" s="272"/>
      <c r="F62" s="223" t="n">
        <v>15358.86</v>
      </c>
      <c r="G62" s="223"/>
      <c r="H62" s="223" t="n">
        <v>6758.84</v>
      </c>
      <c r="I62" s="223"/>
      <c r="J62" s="264" t="n">
        <v>-173241.16</v>
      </c>
      <c r="K62" s="264"/>
      <c r="L62" s="273" t="n">
        <v>0.0375491111111111</v>
      </c>
      <c r="M62" s="273"/>
      <c r="N62" s="201"/>
    </row>
    <row r="63" customFormat="false" ht="16.5" hidden="false" customHeight="true" outlineLevel="0" collapsed="false">
      <c r="A63" s="201"/>
      <c r="B63" s="230" t="s">
        <v>914</v>
      </c>
      <c r="C63" s="230"/>
      <c r="D63" s="270" t="n">
        <v>15</v>
      </c>
      <c r="E63" s="270"/>
      <c r="F63" s="219" t="n">
        <v>136672.49</v>
      </c>
      <c r="G63" s="219"/>
      <c r="H63" s="219" t="n">
        <v>34499.46</v>
      </c>
      <c r="I63" s="219"/>
      <c r="J63" s="262" t="n">
        <v>-145500.54</v>
      </c>
      <c r="K63" s="262"/>
      <c r="L63" s="271" t="n">
        <v>0.191663666666667</v>
      </c>
      <c r="M63" s="271"/>
      <c r="N63" s="201"/>
    </row>
    <row r="64" customFormat="false" ht="16.5" hidden="false" customHeight="true" outlineLevel="0" collapsed="false">
      <c r="A64" s="201"/>
      <c r="B64" s="233" t="s">
        <v>915</v>
      </c>
      <c r="C64" s="233"/>
      <c r="D64" s="272" t="n">
        <v>31</v>
      </c>
      <c r="E64" s="272"/>
      <c r="F64" s="223" t="n">
        <v>148960.23</v>
      </c>
      <c r="G64" s="223"/>
      <c r="H64" s="223" t="n">
        <v>69914.73</v>
      </c>
      <c r="I64" s="223"/>
      <c r="J64" s="264" t="n">
        <v>-110085.27</v>
      </c>
      <c r="K64" s="264"/>
      <c r="L64" s="273" t="n">
        <v>0.388415166666667</v>
      </c>
      <c r="M64" s="273"/>
      <c r="N64" s="201"/>
    </row>
    <row r="65" customFormat="false" ht="16.5" hidden="false" customHeight="true" outlineLevel="0" collapsed="false">
      <c r="A65" s="201"/>
      <c r="B65" s="230" t="s">
        <v>916</v>
      </c>
      <c r="C65" s="230"/>
      <c r="D65" s="270" t="n">
        <v>5</v>
      </c>
      <c r="E65" s="270"/>
      <c r="F65" s="219" t="n">
        <v>20120.89</v>
      </c>
      <c r="G65" s="219"/>
      <c r="H65" s="219" t="n">
        <v>6565.87</v>
      </c>
      <c r="I65" s="219"/>
      <c r="J65" s="262" t="n">
        <v>-173434.13</v>
      </c>
      <c r="K65" s="262"/>
      <c r="L65" s="271" t="n">
        <v>0.0364770555555556</v>
      </c>
      <c r="M65" s="271"/>
      <c r="N65" s="201"/>
    </row>
    <row r="66" customFormat="false" ht="19.5" hidden="false" customHeight="true" outlineLevel="0" collapsed="false">
      <c r="A66" s="201"/>
      <c r="B66" s="274" t="n">
        <f aca="false">IFERROR(verage / total,0)</f>
        <v>0</v>
      </c>
      <c r="C66" s="274"/>
      <c r="D66" s="275" t="n">
        <f aca="false">IFERROR(AVERAGE(E55:E65),0)</f>
        <v>0</v>
      </c>
      <c r="E66" s="275"/>
      <c r="F66" s="276" t="n">
        <f aca="false">IFERROR(SUBTOTAL(9,G55:G65),0)</f>
        <v>0</v>
      </c>
      <c r="G66" s="276"/>
      <c r="H66" s="276" t="n">
        <f aca="false">IFERROR(SUBTOTAL(9,I55:I65),0)</f>
        <v>0</v>
      </c>
      <c r="I66" s="276"/>
      <c r="J66" s="277" t="n">
        <f aca="false">IFERROR(AVERAGE(K55:K65),0)</f>
        <v>0</v>
      </c>
      <c r="K66" s="277"/>
      <c r="L66" s="278" t="n">
        <f aca="false">IFERROR(AVERAGE(M55:M65),0)</f>
        <v>0</v>
      </c>
      <c r="M66" s="278"/>
      <c r="N66" s="201"/>
    </row>
    <row r="67" customFormat="false" ht="6.75" hidden="false" customHeight="true" outlineLevel="0" collapsed="false">
      <c r="A67" s="201"/>
      <c r="B67" s="201"/>
      <c r="C67" s="201"/>
      <c r="D67" s="201"/>
      <c r="E67" s="201"/>
      <c r="F67" s="201"/>
      <c r="G67" s="201"/>
      <c r="H67" s="201"/>
      <c r="I67" s="201"/>
      <c r="J67" s="201"/>
      <c r="K67" s="201"/>
      <c r="L67" s="201"/>
      <c r="M67" s="201"/>
      <c r="N67" s="201"/>
    </row>
    <row r="68" customFormat="false" ht="21.75" hidden="false" customHeight="true" outlineLevel="0" collapsed="false">
      <c r="B68" s="216" t="s">
        <v>917</v>
      </c>
      <c r="C68" s="216"/>
      <c r="D68" s="216"/>
      <c r="E68" s="216"/>
      <c r="F68" s="216"/>
      <c r="G68" s="216"/>
      <c r="H68" s="216"/>
      <c r="I68" s="216"/>
      <c r="J68" s="216"/>
      <c r="K68" s="216"/>
      <c r="L68" s="216"/>
      <c r="M68" s="216"/>
      <c r="N68" s="216"/>
    </row>
    <row r="69" customFormat="false" ht="19.5" hidden="false" customHeight="true" outlineLevel="0" collapsed="false">
      <c r="B69" s="279" t="s">
        <v>358</v>
      </c>
      <c r="C69" s="280" t="s">
        <v>918</v>
      </c>
      <c r="D69" s="280"/>
      <c r="E69" s="280"/>
      <c r="F69" s="217" t="s">
        <v>919</v>
      </c>
      <c r="G69" s="217"/>
      <c r="H69" s="217"/>
      <c r="I69" s="217"/>
      <c r="J69" s="217" t="s">
        <v>920</v>
      </c>
      <c r="K69" s="217"/>
      <c r="L69" s="217" t="s">
        <v>6</v>
      </c>
      <c r="M69" s="217"/>
    </row>
    <row r="70" customFormat="false" ht="30" hidden="false" customHeight="true" outlineLevel="0" collapsed="false">
      <c r="A70" s="201"/>
      <c r="B70" s="281" t="n">
        <v>1</v>
      </c>
      <c r="C70" s="282" t="s">
        <v>921</v>
      </c>
      <c r="D70" s="282"/>
      <c r="E70" s="282"/>
      <c r="F70" s="283" t="s">
        <v>922</v>
      </c>
      <c r="G70" s="283"/>
      <c r="H70" s="283"/>
      <c r="I70" s="283"/>
      <c r="J70" s="284" t="n">
        <v>249141.608692308</v>
      </c>
      <c r="K70" s="284"/>
      <c r="L70" s="244" t="s">
        <v>18</v>
      </c>
      <c r="M70" s="244"/>
      <c r="N70" s="201"/>
    </row>
    <row r="71" customFormat="false" ht="30" hidden="false" customHeight="true" outlineLevel="0" collapsed="false">
      <c r="A71" s="201"/>
      <c r="B71" s="285" t="n">
        <v>2</v>
      </c>
      <c r="C71" s="286" t="s">
        <v>923</v>
      </c>
      <c r="D71" s="286"/>
      <c r="E71" s="286"/>
      <c r="F71" s="287" t="s">
        <v>924</v>
      </c>
      <c r="G71" s="287"/>
      <c r="H71" s="287"/>
      <c r="I71" s="287"/>
      <c r="J71" s="288" t="n">
        <v>10959.9906</v>
      </c>
      <c r="K71" s="288"/>
      <c r="L71" s="248" t="s">
        <v>870</v>
      </c>
      <c r="M71" s="248"/>
      <c r="N71" s="201"/>
    </row>
    <row r="72" customFormat="false" ht="30" hidden="false" customHeight="true" outlineLevel="0" collapsed="false">
      <c r="A72" s="201"/>
      <c r="B72" s="289" t="n">
        <v>3</v>
      </c>
      <c r="C72" s="290" t="s">
        <v>925</v>
      </c>
      <c r="D72" s="290"/>
      <c r="E72" s="290"/>
      <c r="F72" s="283" t="s">
        <v>926</v>
      </c>
      <c r="G72" s="283"/>
      <c r="H72" s="283"/>
      <c r="I72" s="283"/>
      <c r="J72" s="291" t="n">
        <v>67871.2745</v>
      </c>
      <c r="K72" s="291"/>
      <c r="L72" s="248" t="s">
        <v>873</v>
      </c>
      <c r="M72" s="248"/>
      <c r="N72" s="201"/>
    </row>
    <row r="73" customFormat="false" ht="30" hidden="false" customHeight="true" outlineLevel="0" collapsed="false">
      <c r="A73" s="201"/>
      <c r="B73" s="292" t="n">
        <v>4</v>
      </c>
      <c r="C73" s="293" t="s">
        <v>927</v>
      </c>
      <c r="D73" s="293"/>
      <c r="E73" s="293"/>
      <c r="F73" s="287" t="s">
        <v>928</v>
      </c>
      <c r="G73" s="287"/>
      <c r="H73" s="287"/>
      <c r="I73" s="287"/>
      <c r="J73" s="294" t="n">
        <v>4413.6994</v>
      </c>
      <c r="K73" s="294"/>
      <c r="L73" s="295" t="s">
        <v>929</v>
      </c>
      <c r="M73" s="295"/>
      <c r="N73" s="201"/>
    </row>
  </sheetData>
  <mergeCells count="303">
    <mergeCell ref="A1:N1"/>
    <mergeCell ref="A2:N2"/>
    <mergeCell ref="B4:N4"/>
    <mergeCell ref="B5:C5"/>
    <mergeCell ref="D5:E5"/>
    <mergeCell ref="F5:G5"/>
    <mergeCell ref="I5:J5"/>
    <mergeCell ref="K5:L5"/>
    <mergeCell ref="M5:N5"/>
    <mergeCell ref="B6:C7"/>
    <mergeCell ref="D6:E7"/>
    <mergeCell ref="F6:G7"/>
    <mergeCell ref="I6:J7"/>
    <mergeCell ref="K6:L7"/>
    <mergeCell ref="M6:N7"/>
    <mergeCell ref="B8:C8"/>
    <mergeCell ref="D8:E8"/>
    <mergeCell ref="F8:G8"/>
    <mergeCell ref="I8:J8"/>
    <mergeCell ref="K8:L8"/>
    <mergeCell ref="M8:N8"/>
    <mergeCell ref="A10:N10"/>
    <mergeCell ref="B11:N11"/>
    <mergeCell ref="B12:C12"/>
    <mergeCell ref="D12:E12"/>
    <mergeCell ref="F12:G12"/>
    <mergeCell ref="H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4:C14"/>
    <mergeCell ref="D14:E14"/>
    <mergeCell ref="F14:G14"/>
    <mergeCell ref="H14:I14"/>
    <mergeCell ref="J14:K14"/>
    <mergeCell ref="L14:M14"/>
    <mergeCell ref="B15:C15"/>
    <mergeCell ref="D15:E15"/>
    <mergeCell ref="F15:G15"/>
    <mergeCell ref="H15:I15"/>
    <mergeCell ref="J15:K15"/>
    <mergeCell ref="L15:M15"/>
    <mergeCell ref="B16:C16"/>
    <mergeCell ref="D16:E16"/>
    <mergeCell ref="F16:G16"/>
    <mergeCell ref="H16:I16"/>
    <mergeCell ref="J16:K16"/>
    <mergeCell ref="L16:M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  <mergeCell ref="B19:C19"/>
    <mergeCell ref="D19:E19"/>
    <mergeCell ref="F19:G19"/>
    <mergeCell ref="H19:I19"/>
    <mergeCell ref="J19:K19"/>
    <mergeCell ref="L19:M19"/>
    <mergeCell ref="B20:C20"/>
    <mergeCell ref="D20:E20"/>
    <mergeCell ref="F20:G20"/>
    <mergeCell ref="H20:I20"/>
    <mergeCell ref="J20:K20"/>
    <mergeCell ref="L20:M20"/>
    <mergeCell ref="B22:N22"/>
    <mergeCell ref="B23:C23"/>
    <mergeCell ref="D23:E23"/>
    <mergeCell ref="F23:G23"/>
    <mergeCell ref="H23:I23"/>
    <mergeCell ref="J23:L23"/>
    <mergeCell ref="B24:C24"/>
    <mergeCell ref="D24:E24"/>
    <mergeCell ref="F24:G24"/>
    <mergeCell ref="H24:I24"/>
    <mergeCell ref="J24:L24"/>
    <mergeCell ref="B25:C25"/>
    <mergeCell ref="D25:E25"/>
    <mergeCell ref="F25:G25"/>
    <mergeCell ref="H25:I25"/>
    <mergeCell ref="J25:L25"/>
    <mergeCell ref="B26:C26"/>
    <mergeCell ref="D26:E26"/>
    <mergeCell ref="F26:G26"/>
    <mergeCell ref="H26:I26"/>
    <mergeCell ref="J26:L26"/>
    <mergeCell ref="B27:C27"/>
    <mergeCell ref="D27:E27"/>
    <mergeCell ref="F27:G27"/>
    <mergeCell ref="H27:I27"/>
    <mergeCell ref="J27:L27"/>
    <mergeCell ref="B28:C28"/>
    <mergeCell ref="D28:E28"/>
    <mergeCell ref="F28:G28"/>
    <mergeCell ref="H28:I28"/>
    <mergeCell ref="J28:L28"/>
    <mergeCell ref="B29:C29"/>
    <mergeCell ref="D29:E29"/>
    <mergeCell ref="F29:G29"/>
    <mergeCell ref="H29:I29"/>
    <mergeCell ref="J29:L29"/>
    <mergeCell ref="B30:C30"/>
    <mergeCell ref="D30:E30"/>
    <mergeCell ref="F30:G30"/>
    <mergeCell ref="H30:I30"/>
    <mergeCell ref="J30:L30"/>
    <mergeCell ref="B31:C31"/>
    <mergeCell ref="D31:E31"/>
    <mergeCell ref="F31:G31"/>
    <mergeCell ref="H31:I31"/>
    <mergeCell ref="J31:L31"/>
    <mergeCell ref="B33:N33"/>
    <mergeCell ref="B34:E34"/>
    <mergeCell ref="F34:G34"/>
    <mergeCell ref="H34:I34"/>
    <mergeCell ref="J34:M34"/>
    <mergeCell ref="B35:E35"/>
    <mergeCell ref="F35:G35"/>
    <mergeCell ref="H35:I35"/>
    <mergeCell ref="J35:M35"/>
    <mergeCell ref="B36:E36"/>
    <mergeCell ref="F36:G36"/>
    <mergeCell ref="H36:I36"/>
    <mergeCell ref="J36:M36"/>
    <mergeCell ref="B37:E37"/>
    <mergeCell ref="F37:G37"/>
    <mergeCell ref="H37:I37"/>
    <mergeCell ref="J37:M37"/>
    <mergeCell ref="B38:E38"/>
    <mergeCell ref="F38:G38"/>
    <mergeCell ref="H38:I38"/>
    <mergeCell ref="J38:M38"/>
    <mergeCell ref="B39:E39"/>
    <mergeCell ref="F39:G39"/>
    <mergeCell ref="H39:I39"/>
    <mergeCell ref="J39:M39"/>
    <mergeCell ref="B40:E40"/>
    <mergeCell ref="F40:G40"/>
    <mergeCell ref="H40:I40"/>
    <mergeCell ref="J40:M40"/>
    <mergeCell ref="B41:E41"/>
    <mergeCell ref="F41:G41"/>
    <mergeCell ref="B43:N43"/>
    <mergeCell ref="B44:C44"/>
    <mergeCell ref="D44:E44"/>
    <mergeCell ref="F44:G44"/>
    <mergeCell ref="H44:I44"/>
    <mergeCell ref="J44:K44"/>
    <mergeCell ref="L44:M44"/>
    <mergeCell ref="B45:C45"/>
    <mergeCell ref="D45:E45"/>
    <mergeCell ref="F45:G45"/>
    <mergeCell ref="H45:I45"/>
    <mergeCell ref="J45:K45"/>
    <mergeCell ref="L45:M45"/>
    <mergeCell ref="B46:C46"/>
    <mergeCell ref="D46:E46"/>
    <mergeCell ref="F46:G46"/>
    <mergeCell ref="H46:I46"/>
    <mergeCell ref="J46:K46"/>
    <mergeCell ref="L46:M46"/>
    <mergeCell ref="B47:C47"/>
    <mergeCell ref="D47:E47"/>
    <mergeCell ref="F47:G47"/>
    <mergeCell ref="H47:I47"/>
    <mergeCell ref="J47:K47"/>
    <mergeCell ref="L47:M47"/>
    <mergeCell ref="B48:C48"/>
    <mergeCell ref="D48:E48"/>
    <mergeCell ref="F48:G48"/>
    <mergeCell ref="H48:I48"/>
    <mergeCell ref="J48:K48"/>
    <mergeCell ref="L48:M48"/>
    <mergeCell ref="B49:C49"/>
    <mergeCell ref="D49:E49"/>
    <mergeCell ref="F49:G49"/>
    <mergeCell ref="H49:I49"/>
    <mergeCell ref="J49:K49"/>
    <mergeCell ref="L49:M49"/>
    <mergeCell ref="B50:C50"/>
    <mergeCell ref="D50:E50"/>
    <mergeCell ref="F50:G50"/>
    <mergeCell ref="H50:I50"/>
    <mergeCell ref="J50:K50"/>
    <mergeCell ref="L50:M50"/>
    <mergeCell ref="B51:C51"/>
    <mergeCell ref="D51:E51"/>
    <mergeCell ref="F51:G51"/>
    <mergeCell ref="H51:I51"/>
    <mergeCell ref="J51:K51"/>
    <mergeCell ref="L51:M51"/>
    <mergeCell ref="B53:N53"/>
    <mergeCell ref="B54:C54"/>
    <mergeCell ref="D54:E54"/>
    <mergeCell ref="F54:G54"/>
    <mergeCell ref="H54:I54"/>
    <mergeCell ref="J54:K54"/>
    <mergeCell ref="L54:M54"/>
    <mergeCell ref="B55:C55"/>
    <mergeCell ref="D55:E55"/>
    <mergeCell ref="F55:G55"/>
    <mergeCell ref="H55:I55"/>
    <mergeCell ref="J55:K55"/>
    <mergeCell ref="L55:M55"/>
    <mergeCell ref="B56:C56"/>
    <mergeCell ref="D56:E56"/>
    <mergeCell ref="F56:G56"/>
    <mergeCell ref="H56:I56"/>
    <mergeCell ref="J56:K56"/>
    <mergeCell ref="L56:M56"/>
    <mergeCell ref="B57:C57"/>
    <mergeCell ref="D57:E57"/>
    <mergeCell ref="F57:G57"/>
    <mergeCell ref="H57:I57"/>
    <mergeCell ref="J57:K57"/>
    <mergeCell ref="L57:M57"/>
    <mergeCell ref="B58:C58"/>
    <mergeCell ref="D58:E58"/>
    <mergeCell ref="F58:G58"/>
    <mergeCell ref="H58:I58"/>
    <mergeCell ref="J58:K58"/>
    <mergeCell ref="L58:M58"/>
    <mergeCell ref="B59:C59"/>
    <mergeCell ref="D59:E59"/>
    <mergeCell ref="F59:G59"/>
    <mergeCell ref="H59:I59"/>
    <mergeCell ref="J59:K59"/>
    <mergeCell ref="L59:M59"/>
    <mergeCell ref="B60:C60"/>
    <mergeCell ref="D60:E60"/>
    <mergeCell ref="F60:G60"/>
    <mergeCell ref="H60:I60"/>
    <mergeCell ref="J60:K60"/>
    <mergeCell ref="L60:M60"/>
    <mergeCell ref="B61:C61"/>
    <mergeCell ref="D61:E61"/>
    <mergeCell ref="F61:G61"/>
    <mergeCell ref="H61:I61"/>
    <mergeCell ref="J61:K61"/>
    <mergeCell ref="L61:M61"/>
    <mergeCell ref="B62:C62"/>
    <mergeCell ref="D62:E62"/>
    <mergeCell ref="F62:G62"/>
    <mergeCell ref="H62:I62"/>
    <mergeCell ref="J62:K62"/>
    <mergeCell ref="L62:M62"/>
    <mergeCell ref="B63:C63"/>
    <mergeCell ref="D63:E63"/>
    <mergeCell ref="F63:G63"/>
    <mergeCell ref="H63:I63"/>
    <mergeCell ref="J63:K63"/>
    <mergeCell ref="L63:M63"/>
    <mergeCell ref="B64:C64"/>
    <mergeCell ref="D64:E64"/>
    <mergeCell ref="F64:G64"/>
    <mergeCell ref="H64:I64"/>
    <mergeCell ref="J64:K64"/>
    <mergeCell ref="L64:M64"/>
    <mergeCell ref="B65:C65"/>
    <mergeCell ref="D65:E65"/>
    <mergeCell ref="F65:G65"/>
    <mergeCell ref="H65:I65"/>
    <mergeCell ref="J65:K65"/>
    <mergeCell ref="L65:M65"/>
    <mergeCell ref="B66:C66"/>
    <mergeCell ref="D66:E66"/>
    <mergeCell ref="F66:G66"/>
    <mergeCell ref="H66:I66"/>
    <mergeCell ref="J66:K66"/>
    <mergeCell ref="L66:M66"/>
    <mergeCell ref="B68:N68"/>
    <mergeCell ref="C69:E69"/>
    <mergeCell ref="F69:I69"/>
    <mergeCell ref="J69:K69"/>
    <mergeCell ref="L69:M69"/>
    <mergeCell ref="C70:E70"/>
    <mergeCell ref="F70:I70"/>
    <mergeCell ref="J70:K70"/>
    <mergeCell ref="L70:M70"/>
    <mergeCell ref="C71:E71"/>
    <mergeCell ref="F71:I71"/>
    <mergeCell ref="J71:K71"/>
    <mergeCell ref="L71:M71"/>
    <mergeCell ref="C72:E72"/>
    <mergeCell ref="F72:I72"/>
    <mergeCell ref="J72:K72"/>
    <mergeCell ref="L72:M72"/>
    <mergeCell ref="C73:E73"/>
    <mergeCell ref="F73:I73"/>
    <mergeCell ref="J73:K73"/>
    <mergeCell ref="L73:M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8" min="8" style="0" width="2"/>
  </cols>
  <sheetData>
    <row r="1" customFormat="false" ht="27.75" hidden="false" customHeight="true" outlineLevel="0" collapsed="false">
      <c r="A1" s="1" t="s">
        <v>930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78" t="s">
        <v>931</v>
      </c>
      <c r="B2" s="78"/>
      <c r="C2" s="78"/>
      <c r="D2" s="78"/>
      <c r="E2" s="78"/>
      <c r="F2" s="78"/>
      <c r="G2" s="78"/>
      <c r="H2" s="78"/>
    </row>
    <row r="3" customFormat="false" ht="6.75" hidden="false" customHeight="true" outlineLevel="0" collapsed="false">
      <c r="A3" s="296"/>
      <c r="B3" s="296"/>
      <c r="C3" s="296"/>
      <c r="D3" s="296"/>
      <c r="E3" s="296"/>
      <c r="F3" s="296"/>
      <c r="G3" s="296"/>
      <c r="H3" s="296"/>
    </row>
    <row r="4" customFormat="false" ht="21.75" hidden="false" customHeight="true" outlineLevel="0" collapsed="false">
      <c r="B4" s="202" t="s">
        <v>932</v>
      </c>
      <c r="C4" s="202"/>
      <c r="D4" s="202"/>
      <c r="E4" s="202"/>
      <c r="F4" s="202"/>
      <c r="G4" s="202"/>
      <c r="H4" s="202"/>
    </row>
    <row r="5" customFormat="false" ht="18" hidden="false" customHeight="true" outlineLevel="0" collapsed="false">
      <c r="B5" s="297" t="s">
        <v>803</v>
      </c>
      <c r="C5" s="298" t="s">
        <v>13</v>
      </c>
      <c r="D5" s="298" t="s">
        <v>933</v>
      </c>
      <c r="E5" s="260" t="s">
        <v>934</v>
      </c>
      <c r="F5" s="260"/>
      <c r="G5" s="260"/>
    </row>
    <row r="6" customFormat="false" ht="19.5" hidden="false" customHeight="true" outlineLevel="0" collapsed="false">
      <c r="B6" s="187" t="s">
        <v>935</v>
      </c>
      <c r="C6" s="299" t="n">
        <v>180000</v>
      </c>
      <c r="D6" s="300" t="n">
        <f aca="false">C6/$C$6</f>
        <v>1</v>
      </c>
      <c r="E6" s="301" t="s">
        <v>936</v>
      </c>
      <c r="F6" s="301"/>
      <c r="G6" s="301"/>
    </row>
    <row r="7" customFormat="false" ht="19.5" hidden="false" customHeight="true" outlineLevel="0" collapsed="false">
      <c r="B7" s="194" t="s">
        <v>937</v>
      </c>
      <c r="C7" s="302" t="n">
        <v>503202.5045</v>
      </c>
      <c r="D7" s="303" t="n">
        <f aca="false">C7/$C$6</f>
        <v>2.79556946944444</v>
      </c>
      <c r="E7" s="304" t="s">
        <v>938</v>
      </c>
      <c r="F7" s="304"/>
      <c r="G7" s="304"/>
    </row>
    <row r="8" customFormat="false" ht="19.5" hidden="false" customHeight="true" outlineLevel="0" collapsed="false">
      <c r="B8" s="187" t="s">
        <v>939</v>
      </c>
      <c r="C8" s="305" t="n">
        <v>120317.47</v>
      </c>
      <c r="D8" s="300" t="n">
        <f aca="false">C8/$C$6</f>
        <v>0.668430388888889</v>
      </c>
      <c r="E8" s="301" t="s">
        <v>940</v>
      </c>
      <c r="F8" s="301"/>
      <c r="G8" s="301"/>
    </row>
    <row r="9" customFormat="false" ht="19.5" hidden="false" customHeight="true" outlineLevel="0" collapsed="false">
      <c r="B9" s="194" t="s">
        <v>941</v>
      </c>
      <c r="C9" s="302" t="n">
        <v>279220.55</v>
      </c>
      <c r="D9" s="303" t="n">
        <f aca="false">C9/$C$6</f>
        <v>1.55122527777778</v>
      </c>
      <c r="E9" s="304" t="s">
        <v>942</v>
      </c>
      <c r="F9" s="304"/>
      <c r="G9" s="304"/>
    </row>
    <row r="10" customFormat="false" ht="19.5" hidden="false" customHeight="true" outlineLevel="0" collapsed="false">
      <c r="B10" s="187" t="s">
        <v>943</v>
      </c>
      <c r="C10" s="305" t="n">
        <v>439403.5045</v>
      </c>
      <c r="D10" s="300" t="n">
        <f aca="false">C10/$C$6</f>
        <v>2.44113058055556</v>
      </c>
      <c r="E10" s="301" t="s">
        <v>944</v>
      </c>
      <c r="F10" s="301"/>
      <c r="G10" s="301"/>
    </row>
    <row r="11" customFormat="false" ht="19.5" hidden="false" customHeight="true" outlineLevel="0" collapsed="false">
      <c r="B11" s="194" t="s">
        <v>945</v>
      </c>
      <c r="C11" s="302" t="n">
        <v>63799</v>
      </c>
      <c r="D11" s="303" t="n">
        <f aca="false">C11/$C$6</f>
        <v>0.354438888888889</v>
      </c>
      <c r="E11" s="304" t="s">
        <v>946</v>
      </c>
      <c r="F11" s="304"/>
      <c r="G11" s="304"/>
    </row>
    <row r="12" customFormat="false" ht="19.5" hidden="false" customHeight="true" outlineLevel="0" collapsed="false">
      <c r="B12" s="187" t="s">
        <v>947</v>
      </c>
      <c r="C12" s="305" t="n">
        <v>8214.7161</v>
      </c>
      <c r="D12" s="300" t="n">
        <f aca="false">C12/$C$6</f>
        <v>0.0456373116666667</v>
      </c>
      <c r="E12" s="301" t="s">
        <v>948</v>
      </c>
      <c r="F12" s="301"/>
      <c r="G12" s="301"/>
    </row>
    <row r="13" customFormat="false" ht="19.5" hidden="false" customHeight="true" outlineLevel="0" collapsed="false">
      <c r="B13" s="194" t="s">
        <v>949</v>
      </c>
      <c r="C13" s="306" t="n">
        <f aca="false">C8/C6</f>
        <v>0.668430388888889</v>
      </c>
      <c r="D13" s="307"/>
      <c r="E13" s="304" t="s">
        <v>950</v>
      </c>
      <c r="F13" s="304"/>
      <c r="G13" s="304"/>
    </row>
    <row r="14" customFormat="false" ht="19.5" hidden="false" customHeight="true" outlineLevel="0" collapsed="false">
      <c r="B14" s="187" t="s">
        <v>951</v>
      </c>
      <c r="C14" s="308" t="n">
        <f aca="false">C11/C6</f>
        <v>0.354438888888889</v>
      </c>
      <c r="D14" s="309"/>
      <c r="E14" s="301" t="s">
        <v>952</v>
      </c>
      <c r="F14" s="301"/>
      <c r="G14" s="301"/>
    </row>
    <row r="15" customFormat="false" ht="19.5" hidden="false" customHeight="true" outlineLevel="0" collapsed="false">
      <c r="B15" s="194" t="s">
        <v>953</v>
      </c>
      <c r="C15" s="310" t="n">
        <f aca="false">C6/C6</f>
        <v>1</v>
      </c>
      <c r="D15" s="307"/>
      <c r="E15" s="304" t="s">
        <v>954</v>
      </c>
      <c r="F15" s="304"/>
      <c r="G15" s="304"/>
    </row>
    <row r="16" customFormat="false" ht="6.75" hidden="false" customHeight="true" outlineLevel="0" collapsed="false">
      <c r="A16" s="296"/>
      <c r="B16" s="296"/>
      <c r="C16" s="296"/>
      <c r="D16" s="296"/>
      <c r="E16" s="296"/>
      <c r="F16" s="296"/>
      <c r="G16" s="296"/>
      <c r="H16" s="296"/>
    </row>
    <row r="17" customFormat="false" ht="21.75" hidden="false" customHeight="true" outlineLevel="0" collapsed="false">
      <c r="B17" s="202" t="s">
        <v>955</v>
      </c>
      <c r="C17" s="202"/>
      <c r="D17" s="202"/>
      <c r="E17" s="202"/>
      <c r="F17" s="202"/>
      <c r="G17" s="202"/>
      <c r="H17" s="202"/>
    </row>
    <row r="18" customFormat="false" ht="18" hidden="false" customHeight="true" outlineLevel="0" collapsed="false">
      <c r="B18" s="298" t="s">
        <v>11</v>
      </c>
      <c r="C18" s="298" t="s">
        <v>956</v>
      </c>
      <c r="D18" s="298" t="s">
        <v>957</v>
      </c>
      <c r="E18" s="298" t="s">
        <v>958</v>
      </c>
      <c r="F18" s="298" t="s">
        <v>959</v>
      </c>
      <c r="G18" s="298" t="s">
        <v>960</v>
      </c>
    </row>
    <row r="19" customFormat="false" ht="18" hidden="false" customHeight="true" outlineLevel="0" collapsed="false">
      <c r="B19" s="187" t="s">
        <v>527</v>
      </c>
      <c r="C19" s="311" t="n">
        <v>8</v>
      </c>
      <c r="D19" s="312" t="n">
        <v>78153.61</v>
      </c>
      <c r="E19" s="312" t="n">
        <v>59975.62</v>
      </c>
      <c r="F19" s="313" t="n">
        <v>0.235029375</v>
      </c>
      <c r="G19" s="312" t="n">
        <v>85968.97</v>
      </c>
    </row>
    <row r="20" customFormat="false" ht="18" hidden="false" customHeight="true" outlineLevel="0" collapsed="false">
      <c r="B20" s="314" t="s">
        <v>522</v>
      </c>
      <c r="C20" s="315" t="n">
        <v>52</v>
      </c>
      <c r="D20" s="316" t="n">
        <v>253836.8</v>
      </c>
      <c r="E20" s="316" t="n">
        <v>194659.44</v>
      </c>
      <c r="F20" s="317" t="n">
        <v>0.228052192307692</v>
      </c>
      <c r="G20" s="316" t="n">
        <v>279220.55</v>
      </c>
    </row>
    <row r="21" customFormat="false" ht="18" hidden="false" customHeight="true" outlineLevel="0" collapsed="false">
      <c r="B21" s="318" t="s">
        <v>532</v>
      </c>
      <c r="C21" s="319" t="n">
        <v>26</v>
      </c>
      <c r="D21" s="320" t="n">
        <v>109379.53</v>
      </c>
      <c r="E21" s="320" t="n">
        <v>83729.9</v>
      </c>
      <c r="F21" s="321" t="n">
        <v>0.229731230769231</v>
      </c>
      <c r="G21" s="320" t="n">
        <v>120317.47</v>
      </c>
    </row>
    <row r="22" customFormat="false" ht="19.5" hidden="false" customHeight="true" outlineLevel="0" collapsed="false">
      <c r="B22" s="298" t="s">
        <v>961</v>
      </c>
      <c r="C22" s="322" t="n">
        <f aca="false">SUBTOTAL(9,C19:C21)</f>
        <v>86</v>
      </c>
      <c r="D22" s="323" t="n">
        <f aca="false">SUBTOTAL(9,D19:D21)</f>
        <v>441369.94</v>
      </c>
      <c r="E22" s="323" t="n">
        <f aca="false">SUBTOTAL(9,E19:E21)</f>
        <v>338364.96</v>
      </c>
      <c r="F22" s="324" t="n">
        <f aca="false">AVERAGE(F19:F21)</f>
        <v>0.230937599358974</v>
      </c>
      <c r="G22" s="323" t="n">
        <f aca="false">SUBTOTAL(9,G19:G21)</f>
        <v>485506.99</v>
      </c>
    </row>
    <row r="23" customFormat="false" ht="6.75" hidden="false" customHeight="true" outlineLevel="0" collapsed="false">
      <c r="A23" s="296"/>
      <c r="B23" s="296"/>
      <c r="C23" s="296"/>
      <c r="D23" s="296"/>
      <c r="E23" s="296"/>
      <c r="F23" s="296"/>
      <c r="G23" s="296"/>
      <c r="H23" s="296"/>
    </row>
    <row r="24" customFormat="false" ht="21.75" hidden="false" customHeight="true" outlineLevel="0" collapsed="false">
      <c r="B24" s="202" t="s">
        <v>962</v>
      </c>
      <c r="C24" s="202"/>
      <c r="D24" s="202"/>
      <c r="E24" s="202"/>
      <c r="F24" s="202"/>
      <c r="G24" s="202"/>
      <c r="H24" s="202"/>
    </row>
    <row r="25" customFormat="false" ht="18" hidden="false" customHeight="true" outlineLevel="0" collapsed="false">
      <c r="B25" s="298" t="s">
        <v>963</v>
      </c>
      <c r="C25" s="298" t="s">
        <v>964</v>
      </c>
      <c r="D25" s="298" t="s">
        <v>965</v>
      </c>
      <c r="E25" s="298" t="s">
        <v>966</v>
      </c>
      <c r="F25" s="298" t="s">
        <v>967</v>
      </c>
      <c r="G25" s="298" t="s">
        <v>11</v>
      </c>
    </row>
    <row r="26" customFormat="false" ht="19.5" hidden="false" customHeight="true" outlineLevel="0" collapsed="false">
      <c r="B26" s="187" t="s">
        <v>968</v>
      </c>
      <c r="C26" s="325" t="n">
        <v>45000</v>
      </c>
      <c r="D26" s="326" t="n">
        <v>25519.6</v>
      </c>
      <c r="E26" s="327" t="n">
        <f aca="false">D26-C26</f>
        <v>-19480.4</v>
      </c>
      <c r="F26" s="328" t="n">
        <f aca="false">IFERROR(D26/C26,0)</f>
        <v>0.567102222222222</v>
      </c>
      <c r="G26" s="329" t="str">
        <f aca="false">IF(F26&lt;=0.5,"Under Budget",IF(F26&lt;=0.85,"On Track",IF(F26&lt;=1,"Watch","OVER BUDGET")))</f>
        <v>On Track</v>
      </c>
    </row>
    <row r="27" customFormat="false" ht="19.5" hidden="false" customHeight="true" outlineLevel="0" collapsed="false">
      <c r="B27" s="194" t="s">
        <v>969</v>
      </c>
      <c r="C27" s="325" t="n">
        <v>25000</v>
      </c>
      <c r="D27" s="330" t="n">
        <v>0</v>
      </c>
      <c r="E27" s="331" t="n">
        <f aca="false">D27-C27</f>
        <v>-25000</v>
      </c>
      <c r="F27" s="332" t="n">
        <f aca="false">IFERROR(D27/C27,0)</f>
        <v>0</v>
      </c>
      <c r="G27" s="333" t="str">
        <f aca="false">IF(F27&lt;=0.5,"Under Budget",IF(F27&lt;=0.85,"On Track",IF(F27&lt;=1,"Watch","OVER BUDGET")))</f>
        <v>Under Budget</v>
      </c>
    </row>
    <row r="28" customFormat="false" ht="19.5" hidden="false" customHeight="true" outlineLevel="0" collapsed="false">
      <c r="B28" s="187" t="s">
        <v>970</v>
      </c>
      <c r="C28" s="325" t="n">
        <v>8000</v>
      </c>
      <c r="D28" s="326" t="n">
        <v>0</v>
      </c>
      <c r="E28" s="327" t="n">
        <f aca="false">D28-C28</f>
        <v>-8000</v>
      </c>
      <c r="F28" s="328" t="n">
        <f aca="false">IFERROR(D28/C28,0)</f>
        <v>0</v>
      </c>
      <c r="G28" s="329" t="str">
        <f aca="false">IF(F28&lt;=0.5,"Under Budget",IF(F28&lt;=0.85,"On Track",IF(F28&lt;=1,"Watch","OVER BUDGET")))</f>
        <v>Under Budget</v>
      </c>
    </row>
    <row r="29" customFormat="false" ht="19.5" hidden="false" customHeight="true" outlineLevel="0" collapsed="false">
      <c r="B29" s="194" t="s">
        <v>971</v>
      </c>
      <c r="C29" s="325" t="n">
        <v>15000</v>
      </c>
      <c r="D29" s="330" t="n">
        <v>0</v>
      </c>
      <c r="E29" s="331" t="n">
        <f aca="false">D29-C29</f>
        <v>-15000</v>
      </c>
      <c r="F29" s="332" t="n">
        <f aca="false">IFERROR(D29/C29,0)</f>
        <v>0</v>
      </c>
      <c r="G29" s="333" t="str">
        <f aca="false">IF(F29&lt;=0.5,"Under Budget",IF(F29&lt;=0.85,"On Track",IF(F29&lt;=1,"Watch","OVER BUDGET")))</f>
        <v>Under Budget</v>
      </c>
    </row>
    <row r="30" customFormat="false" ht="19.5" hidden="false" customHeight="true" outlineLevel="0" collapsed="false">
      <c r="B30" s="187" t="s">
        <v>972</v>
      </c>
      <c r="C30" s="325" t="n">
        <v>6000</v>
      </c>
      <c r="D30" s="326" t="n">
        <v>0</v>
      </c>
      <c r="E30" s="327" t="n">
        <f aca="false">D30-C30</f>
        <v>-6000</v>
      </c>
      <c r="F30" s="328" t="n">
        <f aca="false">IFERROR(D30/C30,0)</f>
        <v>0</v>
      </c>
      <c r="G30" s="329" t="str">
        <f aca="false">IF(F30&lt;=0.5,"Under Budget",IF(F30&lt;=0.85,"On Track",IF(F30&lt;=1,"Watch","OVER BUDGET")))</f>
        <v>Under Budget</v>
      </c>
    </row>
    <row r="31" customFormat="false" ht="19.5" hidden="false" customHeight="true" outlineLevel="0" collapsed="false">
      <c r="B31" s="194" t="s">
        <v>973</v>
      </c>
      <c r="C31" s="325" t="n">
        <v>12000</v>
      </c>
      <c r="D31" s="330" t="n">
        <v>0</v>
      </c>
      <c r="E31" s="331" t="n">
        <f aca="false">D31-C31</f>
        <v>-12000</v>
      </c>
      <c r="F31" s="332" t="n">
        <f aca="false">IFERROR(D31/C31,0)</f>
        <v>0</v>
      </c>
      <c r="G31" s="333" t="str">
        <f aca="false">IF(F31&lt;=0.5,"Under Budget",IF(F31&lt;=0.85,"On Track",IF(F31&lt;=1,"Watch","OVER BUDGET")))</f>
        <v>Under Budget</v>
      </c>
    </row>
    <row r="32" customFormat="false" ht="19.5" hidden="false" customHeight="true" outlineLevel="0" collapsed="false">
      <c r="B32" s="187" t="s">
        <v>974</v>
      </c>
      <c r="C32" s="325" t="n">
        <v>5000</v>
      </c>
      <c r="D32" s="326" t="n">
        <v>0</v>
      </c>
      <c r="E32" s="327" t="n">
        <f aca="false">D32-C32</f>
        <v>-5000</v>
      </c>
      <c r="F32" s="328" t="n">
        <f aca="false">IFERROR(D32/C32,0)</f>
        <v>0</v>
      </c>
      <c r="G32" s="329" t="str">
        <f aca="false">IF(F32&lt;=0.5,"Under Budget",IF(F32&lt;=0.85,"On Track",IF(F32&lt;=1,"Watch","OVER BUDGET")))</f>
        <v>Under Budget</v>
      </c>
    </row>
    <row r="33" customFormat="false" ht="21.75" hidden="false" customHeight="true" outlineLevel="0" collapsed="false">
      <c r="B33" s="298" t="s">
        <v>961</v>
      </c>
      <c r="C33" s="323" t="n">
        <f aca="false">SUBTOTAL(9,C26:C32)</f>
        <v>116000</v>
      </c>
      <c r="D33" s="323" t="n">
        <f aca="false">SUBTOTAL(9,D26:D32)</f>
        <v>25519.6</v>
      </c>
      <c r="E33" s="323" t="n">
        <f aca="false">D33-C33</f>
        <v>-90480.4</v>
      </c>
      <c r="F33" s="324" t="n">
        <f aca="false">IFERROR(D33/C33,0)</f>
        <v>0.219996551724138</v>
      </c>
      <c r="G33" s="322"/>
    </row>
  </sheetData>
  <mergeCells count="19">
    <mergeCell ref="A1:H1"/>
    <mergeCell ref="A2:H2"/>
    <mergeCell ref="A3:H3"/>
    <mergeCell ref="B4:H4"/>
    <mergeCell ref="E5:G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A16:H16"/>
    <mergeCell ref="B17:H17"/>
    <mergeCell ref="A23:H23"/>
    <mergeCell ref="B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9488"/>
    <pageSetUpPr fitToPage="false"/>
  </sheetPr>
  <dimension ref="A1:K1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45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9"/>
  </cols>
  <sheetData>
    <row r="1" customFormat="false" ht="27.75" hidden="false" customHeight="true" outlineLevel="0" collapsed="false">
      <c r="A1" s="1" t="s">
        <v>975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3.5" hidden="false" customHeight="true" outlineLevel="0" collapsed="false">
      <c r="A2" s="2" t="s">
        <v>976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9.5" hidden="false" customHeight="true" outlineLevel="0" collapsed="false">
      <c r="A3" s="9" t="s">
        <v>358</v>
      </c>
      <c r="B3" s="9" t="s">
        <v>7</v>
      </c>
      <c r="C3" s="9" t="s">
        <v>512</v>
      </c>
      <c r="D3" s="9" t="s">
        <v>9</v>
      </c>
      <c r="E3" s="9" t="s">
        <v>977</v>
      </c>
      <c r="F3" s="9" t="s">
        <v>11</v>
      </c>
      <c r="G3" s="9" t="s">
        <v>15</v>
      </c>
      <c r="H3" s="9" t="s">
        <v>13</v>
      </c>
      <c r="I3" s="9" t="s">
        <v>978</v>
      </c>
      <c r="J3" s="9" t="s">
        <v>359</v>
      </c>
      <c r="K3" s="9" t="s">
        <v>10</v>
      </c>
    </row>
    <row r="4" customFormat="false" ht="15.75" hidden="false" customHeight="true" outlineLevel="0" collapsed="false">
      <c r="A4" s="89" t="n">
        <v>1</v>
      </c>
      <c r="B4" s="11" t="s">
        <v>96</v>
      </c>
      <c r="C4" s="12" t="s">
        <v>97</v>
      </c>
      <c r="D4" s="13" t="s">
        <v>378</v>
      </c>
      <c r="E4" s="12" t="s">
        <v>99</v>
      </c>
      <c r="F4" s="15" t="s">
        <v>22</v>
      </c>
      <c r="G4" s="18" t="n">
        <v>45667.5222222222</v>
      </c>
      <c r="H4" s="16" t="n">
        <v>2351.01</v>
      </c>
      <c r="I4" s="19"/>
      <c r="J4" s="91" t="s">
        <v>361</v>
      </c>
      <c r="K4" s="21" t="n">
        <v>454</v>
      </c>
    </row>
    <row r="5" customFormat="false" ht="15.75" hidden="false" customHeight="true" outlineLevel="0" collapsed="false">
      <c r="A5" s="95" t="n">
        <v>2</v>
      </c>
      <c r="B5" s="49" t="s">
        <v>367</v>
      </c>
      <c r="C5" s="50" t="s">
        <v>979</v>
      </c>
      <c r="D5" s="51" t="s">
        <v>369</v>
      </c>
      <c r="E5" s="50" t="s">
        <v>47</v>
      </c>
      <c r="F5" s="53" t="s">
        <v>219</v>
      </c>
      <c r="G5" s="57" t="n">
        <v>45681.5</v>
      </c>
      <c r="H5" s="55" t="n">
        <v>15682</v>
      </c>
      <c r="I5" s="58"/>
      <c r="J5" s="97" t="s">
        <v>370</v>
      </c>
      <c r="K5" s="52" t="n">
        <v>551</v>
      </c>
    </row>
    <row r="6" customFormat="false" ht="15.75" hidden="false" customHeight="true" outlineLevel="0" collapsed="false">
      <c r="A6" s="89" t="n">
        <v>3</v>
      </c>
      <c r="B6" s="11" t="s">
        <v>31</v>
      </c>
      <c r="C6" s="12" t="s">
        <v>570</v>
      </c>
      <c r="D6" s="13" t="s">
        <v>33</v>
      </c>
      <c r="E6" s="12" t="s">
        <v>34</v>
      </c>
      <c r="F6" s="15" t="s">
        <v>22</v>
      </c>
      <c r="G6" s="18" t="n">
        <v>45776.4965277778</v>
      </c>
      <c r="H6" s="16" t="n">
        <v>12263.736</v>
      </c>
      <c r="I6" s="19"/>
      <c r="J6" s="91" t="s">
        <v>361</v>
      </c>
      <c r="K6" s="21" t="n">
        <v>372</v>
      </c>
    </row>
    <row r="7" customFormat="false" ht="15.75" hidden="false" customHeight="true" outlineLevel="0" collapsed="false">
      <c r="A7" s="95" t="n">
        <v>4</v>
      </c>
      <c r="B7" s="49" t="s">
        <v>449</v>
      </c>
      <c r="C7" s="50" t="s">
        <v>582</v>
      </c>
      <c r="D7" s="51" t="s">
        <v>431</v>
      </c>
      <c r="E7" s="54"/>
      <c r="F7" s="53" t="s">
        <v>219</v>
      </c>
      <c r="G7" s="57" t="n">
        <v>45807.2916666667</v>
      </c>
      <c r="H7" s="55" t="n">
        <v>5900</v>
      </c>
      <c r="I7" s="58"/>
      <c r="J7" s="97" t="s">
        <v>370</v>
      </c>
      <c r="K7" s="52" t="n">
        <v>376</v>
      </c>
    </row>
    <row r="8" customFormat="false" ht="15.75" hidden="false" customHeight="true" outlineLevel="0" collapsed="false">
      <c r="A8" s="95" t="n">
        <v>5</v>
      </c>
      <c r="B8" s="49" t="s">
        <v>231</v>
      </c>
      <c r="C8" s="50" t="s">
        <v>980</v>
      </c>
      <c r="D8" s="51" t="s">
        <v>410</v>
      </c>
      <c r="E8" s="54"/>
      <c r="F8" s="53" t="s">
        <v>219</v>
      </c>
      <c r="G8" s="57" t="n">
        <v>45833.28125</v>
      </c>
      <c r="H8" s="55" t="n">
        <v>5980</v>
      </c>
      <c r="I8" s="58"/>
      <c r="J8" s="103" t="s">
        <v>361</v>
      </c>
      <c r="K8" s="52" t="n">
        <v>322</v>
      </c>
    </row>
    <row r="9" customFormat="false" ht="15.75" hidden="false" customHeight="true" outlineLevel="0" collapsed="false">
      <c r="A9" s="92" t="n">
        <v>6</v>
      </c>
      <c r="B9" s="32" t="s">
        <v>404</v>
      </c>
      <c r="C9" s="33" t="s">
        <v>981</v>
      </c>
      <c r="D9" s="34" t="s">
        <v>375</v>
      </c>
      <c r="E9" s="33" t="s">
        <v>38</v>
      </c>
      <c r="F9" s="36" t="s">
        <v>54</v>
      </c>
      <c r="G9" s="40" t="n">
        <v>45834.2916666667</v>
      </c>
      <c r="H9" s="38" t="n">
        <v>0</v>
      </c>
      <c r="I9" s="41"/>
      <c r="J9" s="101" t="s">
        <v>370</v>
      </c>
      <c r="K9" s="45" t="n">
        <v>427</v>
      </c>
    </row>
    <row r="10" customFormat="false" ht="15.75" hidden="false" customHeight="true" outlineLevel="0" collapsed="false">
      <c r="A10" s="95" t="n">
        <v>7</v>
      </c>
      <c r="B10" s="49" t="s">
        <v>257</v>
      </c>
      <c r="C10" s="50" t="s">
        <v>752</v>
      </c>
      <c r="D10" s="51" t="s">
        <v>431</v>
      </c>
      <c r="E10" s="54"/>
      <c r="F10" s="53" t="s">
        <v>219</v>
      </c>
      <c r="G10" s="57" t="n">
        <v>45835.2916666667</v>
      </c>
      <c r="H10" s="55" t="n">
        <v>3000</v>
      </c>
      <c r="I10" s="58"/>
      <c r="J10" s="103" t="s">
        <v>361</v>
      </c>
      <c r="K10" s="52" t="n">
        <v>495</v>
      </c>
    </row>
    <row r="11" customFormat="false" ht="15.75" hidden="false" customHeight="true" outlineLevel="0" collapsed="false">
      <c r="A11" s="89" t="n">
        <v>8</v>
      </c>
      <c r="B11" s="11" t="s">
        <v>388</v>
      </c>
      <c r="C11" s="12" t="s">
        <v>389</v>
      </c>
      <c r="D11" s="13" t="s">
        <v>390</v>
      </c>
      <c r="E11" s="12" t="s">
        <v>38</v>
      </c>
      <c r="F11" s="15" t="s">
        <v>22</v>
      </c>
      <c r="G11" s="18" t="n">
        <v>45835.4375</v>
      </c>
      <c r="H11" s="16" t="n">
        <v>0</v>
      </c>
      <c r="I11" s="19"/>
      <c r="J11" s="99" t="s">
        <v>370</v>
      </c>
      <c r="K11" s="21" t="n">
        <v>551</v>
      </c>
    </row>
    <row r="12" customFormat="false" ht="15.75" hidden="false" customHeight="true" outlineLevel="0" collapsed="false">
      <c r="A12" s="95" t="n">
        <v>9</v>
      </c>
      <c r="B12" s="49" t="s">
        <v>466</v>
      </c>
      <c r="C12" s="50" t="s">
        <v>982</v>
      </c>
      <c r="D12" s="51" t="s">
        <v>468</v>
      </c>
      <c r="E12" s="50" t="s">
        <v>38</v>
      </c>
      <c r="F12" s="53" t="s">
        <v>219</v>
      </c>
      <c r="G12" s="57" t="n">
        <v>45848.4583333333</v>
      </c>
      <c r="H12" s="55" t="n">
        <v>920</v>
      </c>
      <c r="I12" s="58"/>
      <c r="J12" s="97" t="s">
        <v>370</v>
      </c>
      <c r="K12" s="52" t="n">
        <v>292</v>
      </c>
    </row>
    <row r="13" customFormat="false" ht="15.75" hidden="false" customHeight="true" outlineLevel="0" collapsed="false">
      <c r="A13" s="89" t="n">
        <v>10</v>
      </c>
      <c r="B13" s="11" t="s">
        <v>132</v>
      </c>
      <c r="C13" s="12" t="s">
        <v>983</v>
      </c>
      <c r="D13" s="13" t="s">
        <v>134</v>
      </c>
      <c r="E13" s="12" t="s">
        <v>47</v>
      </c>
      <c r="F13" s="15" t="s">
        <v>22</v>
      </c>
      <c r="G13" s="18" t="n">
        <v>45854.3020833333</v>
      </c>
      <c r="H13" s="16" t="n">
        <v>800.003</v>
      </c>
      <c r="I13" s="19"/>
      <c r="J13" s="91" t="s">
        <v>361</v>
      </c>
      <c r="K13" s="21" t="n">
        <v>280</v>
      </c>
    </row>
    <row r="14" customFormat="false" ht="15.75" hidden="false" customHeight="true" outlineLevel="0" collapsed="false">
      <c r="A14" s="89" t="n">
        <v>11</v>
      </c>
      <c r="B14" s="11" t="s">
        <v>164</v>
      </c>
      <c r="C14" s="12" t="s">
        <v>984</v>
      </c>
      <c r="D14" s="13" t="s">
        <v>379</v>
      </c>
      <c r="E14" s="12" t="s">
        <v>38</v>
      </c>
      <c r="F14" s="15" t="s">
        <v>22</v>
      </c>
      <c r="G14" s="18" t="n">
        <v>45859.2916666667</v>
      </c>
      <c r="H14" s="16" t="n">
        <v>1200</v>
      </c>
      <c r="I14" s="19"/>
      <c r="J14" s="91" t="s">
        <v>361</v>
      </c>
      <c r="K14" s="21" t="n">
        <v>264</v>
      </c>
    </row>
    <row r="15" customFormat="false" ht="15.75" hidden="false" customHeight="true" outlineLevel="0" collapsed="false">
      <c r="A15" s="89" t="n">
        <v>12</v>
      </c>
      <c r="B15" s="11" t="s">
        <v>39</v>
      </c>
      <c r="C15" s="12" t="s">
        <v>985</v>
      </c>
      <c r="D15" s="13" t="s">
        <v>41</v>
      </c>
      <c r="E15" s="12" t="s">
        <v>23</v>
      </c>
      <c r="F15" s="15" t="s">
        <v>22</v>
      </c>
      <c r="G15" s="18" t="n">
        <v>45870.375</v>
      </c>
      <c r="H15" s="16" t="n">
        <v>10484</v>
      </c>
      <c r="I15" s="19"/>
      <c r="J15" s="91" t="s">
        <v>361</v>
      </c>
      <c r="K15" s="21" t="n">
        <v>250</v>
      </c>
    </row>
    <row r="16" customFormat="false" ht="15.75" hidden="false" customHeight="true" outlineLevel="0" collapsed="false">
      <c r="A16" s="89" t="n">
        <v>13</v>
      </c>
      <c r="B16" s="11" t="s">
        <v>387</v>
      </c>
      <c r="C16" s="12" t="s">
        <v>101</v>
      </c>
      <c r="D16" s="13" t="s">
        <v>375</v>
      </c>
      <c r="E16" s="12" t="s">
        <v>38</v>
      </c>
      <c r="F16" s="15" t="s">
        <v>22</v>
      </c>
      <c r="G16" s="18" t="n">
        <v>45875.3270833333</v>
      </c>
      <c r="H16" s="16" t="n">
        <v>0</v>
      </c>
      <c r="I16" s="19"/>
      <c r="J16" s="99" t="s">
        <v>370</v>
      </c>
      <c r="K16" s="21" t="n">
        <v>427</v>
      </c>
    </row>
    <row r="17" customFormat="false" ht="15.75" hidden="false" customHeight="true" outlineLevel="0" collapsed="false">
      <c r="A17" s="89" t="n">
        <v>14</v>
      </c>
      <c r="B17" s="11" t="s">
        <v>100</v>
      </c>
      <c r="C17" s="12" t="s">
        <v>101</v>
      </c>
      <c r="D17" s="13" t="s">
        <v>375</v>
      </c>
      <c r="E17" s="12" t="s">
        <v>38</v>
      </c>
      <c r="F17" s="15" t="s">
        <v>22</v>
      </c>
      <c r="G17" s="18" t="n">
        <v>45877.5486111111</v>
      </c>
      <c r="H17" s="16" t="n">
        <v>2110.0006</v>
      </c>
      <c r="I17" s="19"/>
      <c r="J17" s="91" t="s">
        <v>361</v>
      </c>
      <c r="K17" s="21" t="n">
        <v>274</v>
      </c>
    </row>
    <row r="18" customFormat="false" ht="15.75" hidden="false" customHeight="true" outlineLevel="0" collapsed="false">
      <c r="A18" s="92" t="n">
        <v>15</v>
      </c>
      <c r="B18" s="32" t="s">
        <v>152</v>
      </c>
      <c r="C18" s="33" t="s">
        <v>153</v>
      </c>
      <c r="D18" s="34" t="s">
        <v>391</v>
      </c>
      <c r="E18" s="33" t="s">
        <v>23</v>
      </c>
      <c r="F18" s="36" t="s">
        <v>54</v>
      </c>
      <c r="G18" s="40" t="n">
        <v>45890.3333333333</v>
      </c>
      <c r="H18" s="38" t="n">
        <v>2780.003</v>
      </c>
      <c r="I18" s="41"/>
      <c r="J18" s="94" t="s">
        <v>361</v>
      </c>
      <c r="K18" s="45" t="n">
        <v>238</v>
      </c>
    </row>
    <row r="19" customFormat="false" ht="15.75" hidden="false" customHeight="true" outlineLevel="0" collapsed="false">
      <c r="A19" s="89" t="n">
        <v>16</v>
      </c>
      <c r="B19" s="11" t="s">
        <v>102</v>
      </c>
      <c r="C19" s="12" t="s">
        <v>984</v>
      </c>
      <c r="D19" s="13" t="s">
        <v>379</v>
      </c>
      <c r="E19" s="12" t="s">
        <v>47</v>
      </c>
      <c r="F19" s="15" t="s">
        <v>22</v>
      </c>
      <c r="G19" s="18" t="n">
        <v>45909.375</v>
      </c>
      <c r="H19" s="16" t="n">
        <v>2080</v>
      </c>
      <c r="I19" s="19"/>
      <c r="J19" s="91" t="s">
        <v>361</v>
      </c>
      <c r="K19" s="21" t="n">
        <v>225</v>
      </c>
    </row>
    <row r="20" customFormat="false" ht="15.75" hidden="false" customHeight="true" outlineLevel="0" collapsed="false">
      <c r="A20" s="95" t="n">
        <v>17</v>
      </c>
      <c r="B20" s="49" t="s">
        <v>286</v>
      </c>
      <c r="C20" s="50" t="s">
        <v>287</v>
      </c>
      <c r="D20" s="51" t="s">
        <v>454</v>
      </c>
      <c r="E20" s="50" t="s">
        <v>47</v>
      </c>
      <c r="F20" s="53" t="s">
        <v>219</v>
      </c>
      <c r="G20" s="57" t="n">
        <v>45915.375</v>
      </c>
      <c r="H20" s="55" t="n">
        <v>590</v>
      </c>
      <c r="I20" s="58"/>
      <c r="J20" s="103" t="s">
        <v>361</v>
      </c>
      <c r="K20" s="52" t="n">
        <v>307</v>
      </c>
    </row>
    <row r="21" customFormat="false" ht="15.75" hidden="false" customHeight="true" outlineLevel="0" collapsed="false">
      <c r="A21" s="89" t="n">
        <v>18</v>
      </c>
      <c r="B21" s="11" t="s">
        <v>56</v>
      </c>
      <c r="C21" s="12" t="s">
        <v>986</v>
      </c>
      <c r="D21" s="13" t="s">
        <v>371</v>
      </c>
      <c r="E21" s="12" t="s">
        <v>23</v>
      </c>
      <c r="F21" s="15" t="s">
        <v>22</v>
      </c>
      <c r="G21" s="18" t="n">
        <v>45916.375</v>
      </c>
      <c r="H21" s="16" t="n">
        <v>7507.5684</v>
      </c>
      <c r="I21" s="19"/>
      <c r="J21" s="91" t="s">
        <v>361</v>
      </c>
      <c r="K21" s="21" t="n">
        <v>207</v>
      </c>
    </row>
    <row r="22" customFormat="false" ht="15.75" hidden="false" customHeight="true" outlineLevel="0" collapsed="false">
      <c r="A22" s="95" t="n">
        <v>19</v>
      </c>
      <c r="B22" s="49" t="s">
        <v>246</v>
      </c>
      <c r="C22" s="50" t="s">
        <v>247</v>
      </c>
      <c r="D22" s="51" t="s">
        <v>446</v>
      </c>
      <c r="E22" s="50" t="s">
        <v>47</v>
      </c>
      <c r="F22" s="53" t="s">
        <v>219</v>
      </c>
      <c r="G22" s="57" t="n">
        <v>45919.375</v>
      </c>
      <c r="H22" s="55" t="n">
        <v>4195.004</v>
      </c>
      <c r="I22" s="58"/>
      <c r="J22" s="103" t="s">
        <v>361</v>
      </c>
      <c r="K22" s="52" t="n">
        <v>364</v>
      </c>
    </row>
    <row r="23" customFormat="false" ht="15.75" hidden="false" customHeight="true" outlineLevel="0" collapsed="false">
      <c r="A23" s="89" t="n">
        <v>20</v>
      </c>
      <c r="B23" s="11" t="s">
        <v>92</v>
      </c>
      <c r="C23" s="12" t="s">
        <v>987</v>
      </c>
      <c r="D23" s="13" t="s">
        <v>94</v>
      </c>
      <c r="E23" s="12" t="s">
        <v>95</v>
      </c>
      <c r="F23" s="15" t="s">
        <v>22</v>
      </c>
      <c r="G23" s="18" t="n">
        <v>45919.4583333333</v>
      </c>
      <c r="H23" s="16" t="n">
        <v>2528.0025</v>
      </c>
      <c r="I23" s="19"/>
      <c r="J23" s="91" t="s">
        <v>361</v>
      </c>
      <c r="K23" s="21" t="n">
        <v>211</v>
      </c>
    </row>
    <row r="24" customFormat="false" ht="15.75" hidden="false" customHeight="true" outlineLevel="0" collapsed="false">
      <c r="A24" s="89" t="n">
        <v>21</v>
      </c>
      <c r="B24" s="11" t="s">
        <v>120</v>
      </c>
      <c r="C24" s="12" t="s">
        <v>121</v>
      </c>
      <c r="D24" s="13" t="s">
        <v>384</v>
      </c>
      <c r="E24" s="12" t="s">
        <v>23</v>
      </c>
      <c r="F24" s="15" t="s">
        <v>22</v>
      </c>
      <c r="G24" s="18" t="n">
        <v>45923.2916666667</v>
      </c>
      <c r="H24" s="16" t="n">
        <v>1067.006</v>
      </c>
      <c r="I24" s="19"/>
      <c r="J24" s="91" t="s">
        <v>361</v>
      </c>
      <c r="K24" s="21" t="n">
        <v>295</v>
      </c>
    </row>
    <row r="25" customFormat="false" ht="15.75" hidden="false" customHeight="true" outlineLevel="0" collapsed="false">
      <c r="A25" s="95" t="n">
        <v>22</v>
      </c>
      <c r="B25" s="49" t="s">
        <v>268</v>
      </c>
      <c r="C25" s="50" t="s">
        <v>988</v>
      </c>
      <c r="D25" s="51" t="s">
        <v>375</v>
      </c>
      <c r="E25" s="54"/>
      <c r="F25" s="53" t="s">
        <v>219</v>
      </c>
      <c r="G25" s="57" t="n">
        <v>45925.2916666667</v>
      </c>
      <c r="H25" s="55" t="n">
        <v>2267.884</v>
      </c>
      <c r="I25" s="58"/>
      <c r="J25" s="103" t="s">
        <v>361</v>
      </c>
      <c r="K25" s="52" t="n">
        <v>204</v>
      </c>
    </row>
    <row r="26" customFormat="false" ht="15.75" hidden="false" customHeight="true" outlineLevel="0" collapsed="false">
      <c r="A26" s="89" t="n">
        <v>23</v>
      </c>
      <c r="B26" s="11" t="s">
        <v>111</v>
      </c>
      <c r="C26" s="12" t="s">
        <v>989</v>
      </c>
      <c r="D26" s="13" t="s">
        <v>113</v>
      </c>
      <c r="E26" s="12" t="s">
        <v>23</v>
      </c>
      <c r="F26" s="15" t="s">
        <v>22</v>
      </c>
      <c r="G26" s="18" t="n">
        <v>45932.5270833333</v>
      </c>
      <c r="H26" s="16" t="n">
        <v>1560.006</v>
      </c>
      <c r="I26" s="19"/>
      <c r="J26" s="91" t="s">
        <v>361</v>
      </c>
      <c r="K26" s="21" t="n">
        <v>188</v>
      </c>
    </row>
    <row r="27" customFormat="false" ht="15.75" hidden="false" customHeight="true" outlineLevel="0" collapsed="false">
      <c r="A27" s="89" t="n">
        <v>24</v>
      </c>
      <c r="B27" s="11" t="s">
        <v>73</v>
      </c>
      <c r="C27" s="12" t="s">
        <v>990</v>
      </c>
      <c r="D27" s="13" t="s">
        <v>374</v>
      </c>
      <c r="E27" s="12" t="s">
        <v>47</v>
      </c>
      <c r="F27" s="15" t="s">
        <v>22</v>
      </c>
      <c r="G27" s="18" t="n">
        <v>45938.2916666667</v>
      </c>
      <c r="H27" s="16" t="n">
        <v>4728.67</v>
      </c>
      <c r="I27" s="19"/>
      <c r="J27" s="91" t="s">
        <v>361</v>
      </c>
      <c r="K27" s="21" t="n">
        <v>188</v>
      </c>
    </row>
    <row r="28" customFormat="false" ht="15.75" hidden="false" customHeight="true" outlineLevel="0" collapsed="false">
      <c r="A28" s="95" t="n">
        <v>25</v>
      </c>
      <c r="B28" s="49" t="s">
        <v>290</v>
      </c>
      <c r="C28" s="50" t="s">
        <v>291</v>
      </c>
      <c r="D28" s="51" t="s">
        <v>375</v>
      </c>
      <c r="E28" s="54"/>
      <c r="F28" s="53" t="s">
        <v>219</v>
      </c>
      <c r="G28" s="57" t="n">
        <v>45944.4583333333</v>
      </c>
      <c r="H28" s="55" t="n">
        <v>3500</v>
      </c>
      <c r="I28" s="58"/>
      <c r="J28" s="103" t="s">
        <v>361</v>
      </c>
      <c r="K28" s="52" t="n">
        <v>252</v>
      </c>
    </row>
    <row r="29" customFormat="false" ht="15.75" hidden="false" customHeight="true" outlineLevel="0" collapsed="false">
      <c r="A29" s="95" t="n">
        <v>26</v>
      </c>
      <c r="B29" s="49" t="s">
        <v>275</v>
      </c>
      <c r="C29" s="50" t="s">
        <v>991</v>
      </c>
      <c r="D29" s="51" t="s">
        <v>447</v>
      </c>
      <c r="E29" s="54"/>
      <c r="F29" s="53" t="s">
        <v>219</v>
      </c>
      <c r="G29" s="57" t="n">
        <v>45944.5833333333</v>
      </c>
      <c r="H29" s="55" t="n">
        <v>1560</v>
      </c>
      <c r="I29" s="58"/>
      <c r="J29" s="103" t="s">
        <v>361</v>
      </c>
      <c r="K29" s="52" t="n">
        <v>200</v>
      </c>
    </row>
    <row r="30" customFormat="false" ht="15.75" hidden="false" customHeight="true" outlineLevel="0" collapsed="false">
      <c r="A30" s="89" t="n">
        <v>27</v>
      </c>
      <c r="B30" s="11" t="s">
        <v>83</v>
      </c>
      <c r="C30" s="12" t="s">
        <v>992</v>
      </c>
      <c r="D30" s="13" t="s">
        <v>376</v>
      </c>
      <c r="E30" s="12" t="s">
        <v>47</v>
      </c>
      <c r="F30" s="15" t="s">
        <v>22</v>
      </c>
      <c r="G30" s="18" t="n">
        <v>45946.2916666667</v>
      </c>
      <c r="H30" s="16" t="n">
        <v>2895.008</v>
      </c>
      <c r="I30" s="19"/>
      <c r="J30" s="91" t="s">
        <v>361</v>
      </c>
      <c r="K30" s="21" t="n">
        <v>181</v>
      </c>
    </row>
    <row r="31" customFormat="false" ht="15.75" hidden="false" customHeight="true" outlineLevel="0" collapsed="false">
      <c r="A31" s="89" t="n">
        <v>28</v>
      </c>
      <c r="B31" s="11" t="s">
        <v>398</v>
      </c>
      <c r="C31" s="12" t="s">
        <v>624</v>
      </c>
      <c r="D31" s="13" t="s">
        <v>82</v>
      </c>
      <c r="E31" s="12" t="s">
        <v>47</v>
      </c>
      <c r="F31" s="15" t="s">
        <v>22</v>
      </c>
      <c r="G31" s="18" t="n">
        <v>45950.3333333333</v>
      </c>
      <c r="H31" s="16" t="n">
        <v>460</v>
      </c>
      <c r="I31" s="19"/>
      <c r="J31" s="99" t="s">
        <v>370</v>
      </c>
      <c r="K31" s="21" t="n">
        <v>173</v>
      </c>
    </row>
    <row r="32" customFormat="false" ht="15.75" hidden="false" customHeight="true" outlineLevel="0" collapsed="false">
      <c r="A32" s="95" t="n">
        <v>29</v>
      </c>
      <c r="B32" s="49" t="s">
        <v>477</v>
      </c>
      <c r="C32" s="50" t="s">
        <v>317</v>
      </c>
      <c r="D32" s="51" t="s">
        <v>478</v>
      </c>
      <c r="E32" s="54"/>
      <c r="F32" s="53" t="s">
        <v>219</v>
      </c>
      <c r="G32" s="57" t="n">
        <v>45951.4166666667</v>
      </c>
      <c r="H32" s="55" t="n">
        <v>460</v>
      </c>
      <c r="I32" s="58"/>
      <c r="J32" s="97" t="s">
        <v>370</v>
      </c>
      <c r="K32" s="52" t="n">
        <v>173</v>
      </c>
    </row>
    <row r="33" customFormat="false" ht="15.75" hidden="false" customHeight="true" outlineLevel="0" collapsed="false">
      <c r="A33" s="89" t="n">
        <v>30</v>
      </c>
      <c r="B33" s="11" t="s">
        <v>397</v>
      </c>
      <c r="C33" s="12" t="s">
        <v>101</v>
      </c>
      <c r="D33" s="13" t="s">
        <v>360</v>
      </c>
      <c r="E33" s="12" t="s">
        <v>47</v>
      </c>
      <c r="F33" s="15" t="s">
        <v>22</v>
      </c>
      <c r="G33" s="18" t="n">
        <v>45957.59375</v>
      </c>
      <c r="H33" s="16" t="n">
        <v>460</v>
      </c>
      <c r="I33" s="19"/>
      <c r="J33" s="99" t="s">
        <v>370</v>
      </c>
      <c r="K33" s="21" t="n">
        <v>162</v>
      </c>
    </row>
    <row r="34" customFormat="false" ht="15.75" hidden="false" customHeight="true" outlineLevel="0" collapsed="false">
      <c r="A34" s="89" t="n">
        <v>31</v>
      </c>
      <c r="B34" s="11" t="s">
        <v>25</v>
      </c>
      <c r="C34" s="12" t="s">
        <v>993</v>
      </c>
      <c r="D34" s="13" t="s">
        <v>27</v>
      </c>
      <c r="E34" s="12" t="s">
        <v>23</v>
      </c>
      <c r="F34" s="15" t="s">
        <v>22</v>
      </c>
      <c r="G34" s="18" t="n">
        <v>45958.3159722222</v>
      </c>
      <c r="H34" s="16" t="n">
        <v>14387.3845</v>
      </c>
      <c r="I34" s="19"/>
      <c r="J34" s="91" t="s">
        <v>361</v>
      </c>
      <c r="K34" s="21" t="n">
        <v>188</v>
      </c>
    </row>
    <row r="35" customFormat="false" ht="15.75" hidden="false" customHeight="true" outlineLevel="0" collapsed="false">
      <c r="A35" s="89" t="n">
        <v>32</v>
      </c>
      <c r="B35" s="11" t="s">
        <v>28</v>
      </c>
      <c r="C35" s="12" t="s">
        <v>994</v>
      </c>
      <c r="D35" s="13" t="s">
        <v>362</v>
      </c>
      <c r="E35" s="12" t="s">
        <v>23</v>
      </c>
      <c r="F35" s="15" t="s">
        <v>22</v>
      </c>
      <c r="G35" s="18" t="n">
        <v>45966.2916666667</v>
      </c>
      <c r="H35" s="16" t="n">
        <v>13244.1535</v>
      </c>
      <c r="I35" s="19"/>
      <c r="J35" s="91" t="s">
        <v>361</v>
      </c>
      <c r="K35" s="21" t="n">
        <v>174</v>
      </c>
    </row>
    <row r="36" customFormat="false" ht="15.75" hidden="false" customHeight="true" outlineLevel="0" collapsed="false">
      <c r="A36" s="89" t="n">
        <v>33</v>
      </c>
      <c r="B36" s="11" t="s">
        <v>60</v>
      </c>
      <c r="C36" s="12" t="s">
        <v>995</v>
      </c>
      <c r="D36" s="13" t="s">
        <v>62</v>
      </c>
      <c r="E36" s="12" t="s">
        <v>47</v>
      </c>
      <c r="F36" s="15" t="s">
        <v>22</v>
      </c>
      <c r="G36" s="18" t="n">
        <v>45967.2916666667</v>
      </c>
      <c r="H36" s="16" t="n">
        <v>7065.508</v>
      </c>
      <c r="I36" s="19"/>
      <c r="J36" s="91" t="s">
        <v>361</v>
      </c>
      <c r="K36" s="21" t="n">
        <v>173</v>
      </c>
    </row>
    <row r="37" customFormat="false" ht="15.75" hidden="false" customHeight="true" outlineLevel="0" collapsed="false">
      <c r="A37" s="89" t="n">
        <v>34</v>
      </c>
      <c r="B37" s="11" t="s">
        <v>402</v>
      </c>
      <c r="C37" s="12" t="s">
        <v>666</v>
      </c>
      <c r="D37" s="13" t="s">
        <v>372</v>
      </c>
      <c r="E37" s="12" t="s">
        <v>47</v>
      </c>
      <c r="F37" s="15" t="s">
        <v>22</v>
      </c>
      <c r="G37" s="18" t="n">
        <v>45973.25</v>
      </c>
      <c r="H37" s="16" t="n">
        <v>460</v>
      </c>
      <c r="I37" s="19"/>
      <c r="J37" s="99" t="s">
        <v>370</v>
      </c>
      <c r="K37" s="21" t="n">
        <v>148</v>
      </c>
    </row>
    <row r="38" customFormat="false" ht="15.75" hidden="false" customHeight="true" outlineLevel="0" collapsed="false">
      <c r="A38" s="89" t="n">
        <v>35</v>
      </c>
      <c r="B38" s="11" t="s">
        <v>105</v>
      </c>
      <c r="C38" s="12" t="s">
        <v>106</v>
      </c>
      <c r="D38" s="13" t="s">
        <v>107</v>
      </c>
      <c r="E38" s="12" t="s">
        <v>23</v>
      </c>
      <c r="F38" s="15" t="s">
        <v>22</v>
      </c>
      <c r="G38" s="18" t="n">
        <v>45982.4625</v>
      </c>
      <c r="H38" s="16" t="n">
        <v>2098.7851</v>
      </c>
      <c r="I38" s="19"/>
      <c r="J38" s="91" t="s">
        <v>361</v>
      </c>
      <c r="K38" s="21" t="n">
        <v>138</v>
      </c>
    </row>
    <row r="39" customFormat="false" ht="15.75" hidden="false" customHeight="true" outlineLevel="0" collapsed="false">
      <c r="A39" s="95" t="n">
        <v>36</v>
      </c>
      <c r="B39" s="49" t="s">
        <v>272</v>
      </c>
      <c r="C39" s="50" t="s">
        <v>996</v>
      </c>
      <c r="D39" s="51" t="s">
        <v>448</v>
      </c>
      <c r="E39" s="50" t="s">
        <v>23</v>
      </c>
      <c r="F39" s="53" t="s">
        <v>219</v>
      </c>
      <c r="G39" s="57" t="n">
        <v>45985.375</v>
      </c>
      <c r="H39" s="55" t="n">
        <v>1630</v>
      </c>
      <c r="I39" s="58"/>
      <c r="J39" s="103" t="s">
        <v>361</v>
      </c>
      <c r="K39" s="52" t="n">
        <v>257</v>
      </c>
    </row>
    <row r="40" customFormat="false" ht="15.75" hidden="false" customHeight="true" outlineLevel="0" collapsed="false">
      <c r="A40" s="89" t="n">
        <v>37</v>
      </c>
      <c r="B40" s="11" t="s">
        <v>117</v>
      </c>
      <c r="C40" s="12" t="s">
        <v>118</v>
      </c>
      <c r="D40" s="13" t="s">
        <v>119</v>
      </c>
      <c r="E40" s="12" t="s">
        <v>23</v>
      </c>
      <c r="F40" s="15" t="s">
        <v>22</v>
      </c>
      <c r="G40" s="18" t="n">
        <v>45987.4583333333</v>
      </c>
      <c r="H40" s="16" t="n">
        <v>1195.282</v>
      </c>
      <c r="I40" s="19"/>
      <c r="J40" s="91" t="s">
        <v>361</v>
      </c>
      <c r="K40" s="21" t="n">
        <v>139</v>
      </c>
    </row>
    <row r="41" customFormat="false" ht="15.75" hidden="false" customHeight="true" outlineLevel="0" collapsed="false">
      <c r="A41" s="89" t="n">
        <v>38</v>
      </c>
      <c r="B41" s="11" t="s">
        <v>89</v>
      </c>
      <c r="C41" s="12" t="s">
        <v>997</v>
      </c>
      <c r="D41" s="13" t="s">
        <v>377</v>
      </c>
      <c r="E41" s="12" t="s">
        <v>23</v>
      </c>
      <c r="F41" s="15" t="s">
        <v>22</v>
      </c>
      <c r="G41" s="18" t="n">
        <v>45988.3125</v>
      </c>
      <c r="H41" s="16" t="n">
        <v>2628.002</v>
      </c>
      <c r="I41" s="19"/>
      <c r="J41" s="91" t="s">
        <v>361</v>
      </c>
      <c r="K41" s="21" t="n">
        <v>279</v>
      </c>
    </row>
    <row r="42" customFormat="false" ht="15.75" hidden="false" customHeight="true" outlineLevel="0" collapsed="false">
      <c r="A42" s="95" t="n">
        <v>39</v>
      </c>
      <c r="B42" s="49" t="s">
        <v>260</v>
      </c>
      <c r="C42" s="50" t="s">
        <v>983</v>
      </c>
      <c r="D42" s="51" t="s">
        <v>134</v>
      </c>
      <c r="E42" s="50" t="s">
        <v>99</v>
      </c>
      <c r="F42" s="53" t="s">
        <v>219</v>
      </c>
      <c r="G42" s="57" t="n">
        <v>45988.5</v>
      </c>
      <c r="H42" s="55" t="n">
        <v>2554.432</v>
      </c>
      <c r="I42" s="58"/>
      <c r="J42" s="103" t="s">
        <v>361</v>
      </c>
      <c r="K42" s="52" t="n">
        <v>147</v>
      </c>
    </row>
    <row r="43" customFormat="false" ht="15.75" hidden="false" customHeight="true" outlineLevel="0" collapsed="false">
      <c r="A43" s="334" t="n">
        <v>40</v>
      </c>
      <c r="B43" s="22" t="s">
        <v>114</v>
      </c>
      <c r="C43" s="23" t="s">
        <v>563</v>
      </c>
      <c r="D43" s="24" t="s">
        <v>116</v>
      </c>
      <c r="E43" s="23" t="s">
        <v>47</v>
      </c>
      <c r="F43" s="26" t="s">
        <v>22</v>
      </c>
      <c r="G43" s="29" t="n">
        <v>45989.4166666667</v>
      </c>
      <c r="H43" s="27" t="n">
        <v>1630.63</v>
      </c>
      <c r="I43" s="335" t="s">
        <v>998</v>
      </c>
      <c r="J43" s="336" t="s">
        <v>361</v>
      </c>
      <c r="K43" s="25" t="n">
        <v>145</v>
      </c>
    </row>
    <row r="44" customFormat="false" ht="15.75" hidden="false" customHeight="true" outlineLevel="0" collapsed="false">
      <c r="A44" s="95" t="n">
        <v>41</v>
      </c>
      <c r="B44" s="49" t="s">
        <v>280</v>
      </c>
      <c r="C44" s="50" t="s">
        <v>999</v>
      </c>
      <c r="D44" s="51" t="s">
        <v>116</v>
      </c>
      <c r="E44" s="50" t="s">
        <v>23</v>
      </c>
      <c r="F44" s="53" t="s">
        <v>219</v>
      </c>
      <c r="G44" s="57" t="n">
        <v>45989.5</v>
      </c>
      <c r="H44" s="55" t="n">
        <v>843.5</v>
      </c>
      <c r="I44" s="58"/>
      <c r="J44" s="103" t="s">
        <v>361</v>
      </c>
      <c r="K44" s="52" t="n">
        <v>145</v>
      </c>
    </row>
    <row r="45" customFormat="false" ht="15.75" hidden="false" customHeight="true" outlineLevel="0" collapsed="false">
      <c r="A45" s="334" t="n">
        <v>42</v>
      </c>
      <c r="B45" s="22" t="s">
        <v>130</v>
      </c>
      <c r="C45" s="23" t="s">
        <v>1000</v>
      </c>
      <c r="D45" s="24" t="s">
        <v>116</v>
      </c>
      <c r="E45" s="23" t="s">
        <v>47</v>
      </c>
      <c r="F45" s="26" t="s">
        <v>22</v>
      </c>
      <c r="G45" s="29" t="n">
        <v>45989.5416666667</v>
      </c>
      <c r="H45" s="27" t="n">
        <v>843.5</v>
      </c>
      <c r="I45" s="335" t="s">
        <v>998</v>
      </c>
      <c r="J45" s="336" t="s">
        <v>361</v>
      </c>
      <c r="K45" s="25" t="n">
        <v>145</v>
      </c>
    </row>
    <row r="46" customFormat="false" ht="15.75" hidden="false" customHeight="true" outlineLevel="0" collapsed="false">
      <c r="A46" s="95" t="n">
        <v>43</v>
      </c>
      <c r="B46" s="49" t="s">
        <v>265</v>
      </c>
      <c r="C46" s="50" t="s">
        <v>1001</v>
      </c>
      <c r="D46" s="51" t="s">
        <v>267</v>
      </c>
      <c r="E46" s="54"/>
      <c r="F46" s="53" t="s">
        <v>219</v>
      </c>
      <c r="G46" s="57" t="n">
        <v>45999.25</v>
      </c>
      <c r="H46" s="55" t="n">
        <v>2335.608</v>
      </c>
      <c r="I46" s="58"/>
      <c r="J46" s="103" t="s">
        <v>361</v>
      </c>
      <c r="K46" s="52" t="n">
        <v>138</v>
      </c>
    </row>
    <row r="47" customFormat="false" ht="15.75" hidden="false" customHeight="true" outlineLevel="0" collapsed="false">
      <c r="A47" s="89" t="n">
        <v>44</v>
      </c>
      <c r="B47" s="11" t="s">
        <v>141</v>
      </c>
      <c r="C47" s="12" t="s">
        <v>1002</v>
      </c>
      <c r="D47" s="13" t="s">
        <v>386</v>
      </c>
      <c r="E47" s="12" t="s">
        <v>38</v>
      </c>
      <c r="F47" s="15" t="s">
        <v>22</v>
      </c>
      <c r="G47" s="18" t="n">
        <v>46000.375</v>
      </c>
      <c r="H47" s="16" t="n">
        <v>342.0024</v>
      </c>
      <c r="I47" s="19"/>
      <c r="J47" s="91" t="s">
        <v>361</v>
      </c>
      <c r="K47" s="21" t="n">
        <v>127</v>
      </c>
    </row>
    <row r="48" customFormat="false" ht="15.75" hidden="false" customHeight="true" outlineLevel="0" collapsed="false">
      <c r="A48" s="95" t="n">
        <v>45</v>
      </c>
      <c r="B48" s="49" t="s">
        <v>233</v>
      </c>
      <c r="C48" s="50" t="s">
        <v>595</v>
      </c>
      <c r="D48" s="51" t="s">
        <v>385</v>
      </c>
      <c r="E48" s="54"/>
      <c r="F48" s="53" t="s">
        <v>219</v>
      </c>
      <c r="G48" s="57" t="n">
        <v>46001.4166666667</v>
      </c>
      <c r="H48" s="55" t="n">
        <v>5786.554</v>
      </c>
      <c r="I48" s="58"/>
      <c r="J48" s="103" t="s">
        <v>361</v>
      </c>
      <c r="K48" s="52" t="n">
        <v>125</v>
      </c>
    </row>
    <row r="49" customFormat="false" ht="15.75" hidden="false" customHeight="true" outlineLevel="0" collapsed="false">
      <c r="A49" s="89" t="n">
        <v>46</v>
      </c>
      <c r="B49" s="11" t="s">
        <v>399</v>
      </c>
      <c r="C49" s="12" t="s">
        <v>1003</v>
      </c>
      <c r="D49" s="13" t="s">
        <v>82</v>
      </c>
      <c r="E49" s="12" t="s">
        <v>47</v>
      </c>
      <c r="F49" s="15" t="s">
        <v>22</v>
      </c>
      <c r="G49" s="18" t="n">
        <v>46001.5208333333</v>
      </c>
      <c r="H49" s="16" t="n">
        <v>460</v>
      </c>
      <c r="I49" s="19"/>
      <c r="J49" s="99" t="s">
        <v>370</v>
      </c>
      <c r="K49" s="21" t="n">
        <v>118</v>
      </c>
    </row>
    <row r="50" customFormat="false" ht="15.75" hidden="false" customHeight="true" outlineLevel="0" collapsed="false">
      <c r="A50" s="89" t="n">
        <v>47</v>
      </c>
      <c r="B50" s="11" t="s">
        <v>135</v>
      </c>
      <c r="C50" s="12" t="s">
        <v>1004</v>
      </c>
      <c r="D50" s="13" t="s">
        <v>137</v>
      </c>
      <c r="E50" s="12" t="s">
        <v>47</v>
      </c>
      <c r="F50" s="15" t="s">
        <v>22</v>
      </c>
      <c r="G50" s="18" t="n">
        <v>46007.375</v>
      </c>
      <c r="H50" s="16" t="n">
        <v>734.001</v>
      </c>
      <c r="I50" s="19"/>
      <c r="J50" s="91" t="s">
        <v>361</v>
      </c>
      <c r="K50" s="21" t="n">
        <v>124</v>
      </c>
    </row>
    <row r="51" customFormat="false" ht="15.75" hidden="false" customHeight="true" outlineLevel="0" collapsed="false">
      <c r="A51" s="89" t="n">
        <v>48</v>
      </c>
      <c r="B51" s="11" t="s">
        <v>70</v>
      </c>
      <c r="C51" s="12" t="s">
        <v>736</v>
      </c>
      <c r="D51" s="13" t="s">
        <v>373</v>
      </c>
      <c r="E51" s="12" t="s">
        <v>38</v>
      </c>
      <c r="F51" s="15" t="s">
        <v>22</v>
      </c>
      <c r="G51" s="18" t="n">
        <v>46009.4166666667</v>
      </c>
      <c r="H51" s="16" t="n">
        <v>5090</v>
      </c>
      <c r="I51" s="19"/>
      <c r="J51" s="91" t="s">
        <v>361</v>
      </c>
      <c r="K51" s="21" t="n">
        <v>223</v>
      </c>
    </row>
    <row r="52" customFormat="false" ht="15.75" hidden="false" customHeight="true" outlineLevel="0" collapsed="false">
      <c r="A52" s="89" t="n">
        <v>49</v>
      </c>
      <c r="B52" s="11" t="s">
        <v>80</v>
      </c>
      <c r="C52" s="12" t="s">
        <v>624</v>
      </c>
      <c r="D52" s="13" t="s">
        <v>82</v>
      </c>
      <c r="E52" s="12" t="s">
        <v>23</v>
      </c>
      <c r="F52" s="15" t="s">
        <v>22</v>
      </c>
      <c r="G52" s="18" t="n">
        <v>46009.4583333333</v>
      </c>
      <c r="H52" s="16" t="n">
        <v>3270</v>
      </c>
      <c r="I52" s="19"/>
      <c r="J52" s="91" t="s">
        <v>361</v>
      </c>
      <c r="K52" s="21" t="n">
        <v>148</v>
      </c>
    </row>
    <row r="53" customFormat="false" ht="15.75" hidden="false" customHeight="true" outlineLevel="0" collapsed="false">
      <c r="A53" s="337" t="n">
        <v>50</v>
      </c>
      <c r="B53" s="114" t="s">
        <v>1005</v>
      </c>
      <c r="C53" s="115" t="s">
        <v>992</v>
      </c>
      <c r="D53" s="116" t="s">
        <v>376</v>
      </c>
      <c r="E53" s="115" t="s">
        <v>47</v>
      </c>
      <c r="F53" s="338" t="s">
        <v>800</v>
      </c>
      <c r="G53" s="118" t="n">
        <v>46011.3125</v>
      </c>
      <c r="H53" s="339" t="n">
        <v>1160</v>
      </c>
      <c r="I53" s="340"/>
      <c r="J53" s="341" t="s">
        <v>370</v>
      </c>
      <c r="K53" s="342" t="n">
        <v>109</v>
      </c>
    </row>
    <row r="54" customFormat="false" ht="15.75" hidden="false" customHeight="true" outlineLevel="0" collapsed="false">
      <c r="A54" s="95" t="n">
        <v>51</v>
      </c>
      <c r="B54" s="49" t="s">
        <v>472</v>
      </c>
      <c r="C54" s="50" t="s">
        <v>1006</v>
      </c>
      <c r="D54" s="51" t="s">
        <v>385</v>
      </c>
      <c r="E54" s="50" t="s">
        <v>95</v>
      </c>
      <c r="F54" s="53" t="s">
        <v>219</v>
      </c>
      <c r="G54" s="57" t="n">
        <v>46015.25</v>
      </c>
      <c r="H54" s="55" t="n">
        <v>460</v>
      </c>
      <c r="I54" s="58"/>
      <c r="J54" s="97" t="s">
        <v>370</v>
      </c>
      <c r="K54" s="52" t="n">
        <v>104</v>
      </c>
    </row>
    <row r="55" customFormat="false" ht="15.75" hidden="false" customHeight="true" outlineLevel="0" collapsed="false">
      <c r="A55" s="89" t="n">
        <v>52</v>
      </c>
      <c r="B55" s="11" t="s">
        <v>45</v>
      </c>
      <c r="C55" s="12" t="s">
        <v>46</v>
      </c>
      <c r="D55" s="13" t="s">
        <v>360</v>
      </c>
      <c r="E55" s="12" t="s">
        <v>47</v>
      </c>
      <c r="F55" s="15" t="s">
        <v>22</v>
      </c>
      <c r="G55" s="18" t="n">
        <v>46027.3333333333</v>
      </c>
      <c r="H55" s="16" t="n">
        <v>10056.493</v>
      </c>
      <c r="I55" s="19"/>
      <c r="J55" s="91" t="s">
        <v>361</v>
      </c>
      <c r="K55" s="21" t="n">
        <v>112</v>
      </c>
    </row>
    <row r="56" customFormat="false" ht="15.75" hidden="false" customHeight="true" outlineLevel="0" collapsed="false">
      <c r="A56" s="334" t="n">
        <v>53</v>
      </c>
      <c r="B56" s="22" t="s">
        <v>79</v>
      </c>
      <c r="C56" s="23" t="s">
        <v>1007</v>
      </c>
      <c r="D56" s="24" t="s">
        <v>364</v>
      </c>
      <c r="E56" s="23" t="s">
        <v>23</v>
      </c>
      <c r="F56" s="26" t="s">
        <v>22</v>
      </c>
      <c r="G56" s="29" t="n">
        <v>46029.25</v>
      </c>
      <c r="H56" s="27" t="n">
        <v>4038.228</v>
      </c>
      <c r="I56" s="335" t="s">
        <v>998</v>
      </c>
      <c r="J56" s="336" t="s">
        <v>361</v>
      </c>
      <c r="K56" s="25" t="n">
        <v>132</v>
      </c>
    </row>
    <row r="57" customFormat="false" ht="15.75" hidden="false" customHeight="true" outlineLevel="0" collapsed="false">
      <c r="A57" s="334" t="n">
        <v>54</v>
      </c>
      <c r="B57" s="22" t="s">
        <v>42</v>
      </c>
      <c r="C57" s="23" t="s">
        <v>1007</v>
      </c>
      <c r="D57" s="24" t="s">
        <v>364</v>
      </c>
      <c r="E57" s="23" t="s">
        <v>23</v>
      </c>
      <c r="F57" s="26" t="s">
        <v>22</v>
      </c>
      <c r="G57" s="29" t="n">
        <v>46029.3451388889</v>
      </c>
      <c r="H57" s="27" t="n">
        <v>10090.053</v>
      </c>
      <c r="I57" s="335" t="s">
        <v>998</v>
      </c>
      <c r="J57" s="336" t="s">
        <v>361</v>
      </c>
      <c r="K57" s="25" t="n">
        <v>312</v>
      </c>
    </row>
    <row r="58" customFormat="false" ht="15.75" hidden="false" customHeight="true" outlineLevel="0" collapsed="false">
      <c r="A58" s="89" t="n">
        <v>55</v>
      </c>
      <c r="B58" s="11" t="s">
        <v>381</v>
      </c>
      <c r="C58" s="12" t="s">
        <v>1008</v>
      </c>
      <c r="D58" s="13" t="s">
        <v>375</v>
      </c>
      <c r="E58" s="12" t="s">
        <v>383</v>
      </c>
      <c r="F58" s="15" t="s">
        <v>22</v>
      </c>
      <c r="G58" s="18" t="n">
        <v>46030.4166666667</v>
      </c>
      <c r="H58" s="16" t="n">
        <v>1600</v>
      </c>
      <c r="I58" s="19"/>
      <c r="J58" s="99" t="s">
        <v>370</v>
      </c>
      <c r="K58" s="21" t="n">
        <v>427</v>
      </c>
    </row>
    <row r="59" customFormat="false" ht="15.75" hidden="false" customHeight="true" outlineLevel="0" collapsed="false">
      <c r="A59" s="95" t="n">
        <v>56</v>
      </c>
      <c r="B59" s="49" t="s">
        <v>217</v>
      </c>
      <c r="C59" s="50" t="s">
        <v>218</v>
      </c>
      <c r="D59" s="51" t="s">
        <v>94</v>
      </c>
      <c r="E59" s="54"/>
      <c r="F59" s="53" t="s">
        <v>219</v>
      </c>
      <c r="G59" s="57" t="n">
        <v>46031.25</v>
      </c>
      <c r="H59" s="55" t="n">
        <v>7976.342</v>
      </c>
      <c r="I59" s="58"/>
      <c r="J59" s="103" t="s">
        <v>361</v>
      </c>
      <c r="K59" s="52" t="n">
        <v>106</v>
      </c>
    </row>
    <row r="60" customFormat="false" ht="15.75" hidden="false" customHeight="true" outlineLevel="0" collapsed="false">
      <c r="A60" s="89" t="n">
        <v>57</v>
      </c>
      <c r="B60" s="11" t="s">
        <v>401</v>
      </c>
      <c r="C60" s="12" t="s">
        <v>988</v>
      </c>
      <c r="D60" s="13" t="s">
        <v>375</v>
      </c>
      <c r="E60" s="12" t="s">
        <v>47</v>
      </c>
      <c r="F60" s="15" t="s">
        <v>22</v>
      </c>
      <c r="G60" s="18" t="n">
        <v>46031.4166666667</v>
      </c>
      <c r="H60" s="16" t="n">
        <v>460</v>
      </c>
      <c r="I60" s="19"/>
      <c r="J60" s="99" t="s">
        <v>370</v>
      </c>
      <c r="K60" s="21" t="n">
        <v>176</v>
      </c>
    </row>
    <row r="61" customFormat="false" ht="15.75" hidden="false" customHeight="true" outlineLevel="0" collapsed="false">
      <c r="A61" s="337" t="n">
        <v>58</v>
      </c>
      <c r="B61" s="114" t="s">
        <v>1009</v>
      </c>
      <c r="C61" s="115" t="s">
        <v>736</v>
      </c>
      <c r="D61" s="116" t="s">
        <v>373</v>
      </c>
      <c r="E61" s="115" t="s">
        <v>23</v>
      </c>
      <c r="F61" s="338" t="s">
        <v>800</v>
      </c>
      <c r="G61" s="118" t="n">
        <v>46035.375</v>
      </c>
      <c r="H61" s="339" t="n">
        <v>460</v>
      </c>
      <c r="I61" s="340"/>
      <c r="J61" s="341" t="s">
        <v>370</v>
      </c>
      <c r="K61" s="343" t="n">
        <v>85</v>
      </c>
    </row>
    <row r="62" customFormat="false" ht="15.75" hidden="false" customHeight="true" outlineLevel="0" collapsed="false">
      <c r="A62" s="95" t="n">
        <v>59</v>
      </c>
      <c r="B62" s="49" t="s">
        <v>500</v>
      </c>
      <c r="C62" s="50" t="s">
        <v>1010</v>
      </c>
      <c r="D62" s="51" t="s">
        <v>385</v>
      </c>
      <c r="E62" s="54"/>
      <c r="F62" s="53" t="s">
        <v>219</v>
      </c>
      <c r="G62" s="57" t="n">
        <v>46037.25</v>
      </c>
      <c r="H62" s="55" t="n">
        <v>460</v>
      </c>
      <c r="I62" s="58"/>
      <c r="J62" s="97" t="s">
        <v>370</v>
      </c>
      <c r="K62" s="74" t="n">
        <v>82</v>
      </c>
    </row>
    <row r="63" customFormat="false" ht="15.75" hidden="false" customHeight="true" outlineLevel="0" collapsed="false">
      <c r="A63" s="337" t="n">
        <v>60</v>
      </c>
      <c r="B63" s="114" t="s">
        <v>1011</v>
      </c>
      <c r="C63" s="115" t="s">
        <v>647</v>
      </c>
      <c r="D63" s="116" t="s">
        <v>1012</v>
      </c>
      <c r="E63" s="115" t="s">
        <v>23</v>
      </c>
      <c r="F63" s="338" t="s">
        <v>800</v>
      </c>
      <c r="G63" s="118" t="n">
        <v>46037.25</v>
      </c>
      <c r="H63" s="339" t="n">
        <v>0</v>
      </c>
      <c r="I63" s="340"/>
      <c r="J63" s="344" t="s">
        <v>361</v>
      </c>
      <c r="K63" s="342" t="n">
        <v>113</v>
      </c>
    </row>
    <row r="64" customFormat="false" ht="15.75" hidden="false" customHeight="true" outlineLevel="0" collapsed="false">
      <c r="A64" s="95" t="n">
        <v>61</v>
      </c>
      <c r="B64" s="49" t="s">
        <v>296</v>
      </c>
      <c r="C64" s="50" t="s">
        <v>1013</v>
      </c>
      <c r="D64" s="51" t="s">
        <v>298</v>
      </c>
      <c r="E64" s="54"/>
      <c r="F64" s="53" t="s">
        <v>219</v>
      </c>
      <c r="G64" s="57" t="n">
        <v>46038.25</v>
      </c>
      <c r="H64" s="55" t="n">
        <v>3906.208</v>
      </c>
      <c r="I64" s="58"/>
      <c r="J64" s="103" t="s">
        <v>361</v>
      </c>
      <c r="K64" s="74" t="n">
        <v>83</v>
      </c>
    </row>
    <row r="65" customFormat="false" ht="15.75" hidden="false" customHeight="true" outlineLevel="0" collapsed="false">
      <c r="A65" s="337" t="n">
        <v>62</v>
      </c>
      <c r="B65" s="114" t="s">
        <v>1014</v>
      </c>
      <c r="C65" s="115" t="s">
        <v>1015</v>
      </c>
      <c r="D65" s="116" t="s">
        <v>1016</v>
      </c>
      <c r="E65" s="115" t="s">
        <v>99</v>
      </c>
      <c r="F65" s="338" t="s">
        <v>800</v>
      </c>
      <c r="G65" s="118" t="n">
        <v>46038.4583333333</v>
      </c>
      <c r="H65" s="339" t="n">
        <v>460</v>
      </c>
      <c r="I65" s="340"/>
      <c r="J65" s="341" t="s">
        <v>370</v>
      </c>
      <c r="K65" s="343" t="n">
        <v>90</v>
      </c>
    </row>
    <row r="66" customFormat="false" ht="15.75" hidden="false" customHeight="true" outlineLevel="0" collapsed="false">
      <c r="A66" s="89" t="n">
        <v>63</v>
      </c>
      <c r="B66" s="11" t="s">
        <v>138</v>
      </c>
      <c r="C66" s="12" t="s">
        <v>1017</v>
      </c>
      <c r="D66" s="13" t="s">
        <v>140</v>
      </c>
      <c r="E66" s="12" t="s">
        <v>47</v>
      </c>
      <c r="F66" s="15" t="s">
        <v>22</v>
      </c>
      <c r="G66" s="18" t="n">
        <v>46041.5833333333</v>
      </c>
      <c r="H66" s="16" t="n">
        <v>292</v>
      </c>
      <c r="I66" s="19"/>
      <c r="J66" s="91" t="s">
        <v>361</v>
      </c>
      <c r="K66" s="21" t="n">
        <v>92</v>
      </c>
    </row>
    <row r="67" customFormat="false" ht="15.75" hidden="false" customHeight="true" outlineLevel="0" collapsed="false">
      <c r="A67" s="95" t="n">
        <v>64</v>
      </c>
      <c r="B67" s="49" t="s">
        <v>255</v>
      </c>
      <c r="C67" s="50" t="s">
        <v>1018</v>
      </c>
      <c r="D67" s="51" t="s">
        <v>385</v>
      </c>
      <c r="E67" s="50" t="s">
        <v>23</v>
      </c>
      <c r="F67" s="53" t="s">
        <v>219</v>
      </c>
      <c r="G67" s="57" t="n">
        <v>46043.4166666667</v>
      </c>
      <c r="H67" s="55" t="n">
        <v>3555.9162</v>
      </c>
      <c r="I67" s="58"/>
      <c r="J67" s="103" t="s">
        <v>361</v>
      </c>
      <c r="K67" s="52" t="n">
        <v>99</v>
      </c>
    </row>
    <row r="68" customFormat="false" ht="15.75" hidden="false" customHeight="true" outlineLevel="0" collapsed="false">
      <c r="A68" s="89" t="n">
        <v>65</v>
      </c>
      <c r="B68" s="11" t="s">
        <v>168</v>
      </c>
      <c r="C68" s="12" t="s">
        <v>169</v>
      </c>
      <c r="D68" s="13" t="s">
        <v>170</v>
      </c>
      <c r="E68" s="12" t="s">
        <v>23</v>
      </c>
      <c r="F68" s="15" t="s">
        <v>22</v>
      </c>
      <c r="G68" s="18" t="n">
        <v>46049.4138888889</v>
      </c>
      <c r="H68" s="16" t="n">
        <v>4630.008</v>
      </c>
      <c r="I68" s="19"/>
      <c r="J68" s="91" t="s">
        <v>361</v>
      </c>
      <c r="K68" s="14" t="n">
        <v>76</v>
      </c>
    </row>
    <row r="69" customFormat="false" ht="15.75" hidden="false" customHeight="true" outlineLevel="0" collapsed="false">
      <c r="A69" s="89" t="n">
        <v>66</v>
      </c>
      <c r="B69" s="11" t="s">
        <v>63</v>
      </c>
      <c r="C69" s="12" t="s">
        <v>666</v>
      </c>
      <c r="D69" s="13" t="s">
        <v>372</v>
      </c>
      <c r="E69" s="12" t="s">
        <v>47</v>
      </c>
      <c r="F69" s="15" t="s">
        <v>22</v>
      </c>
      <c r="G69" s="18" t="n">
        <v>46051.25</v>
      </c>
      <c r="H69" s="16" t="n">
        <v>5834.7131</v>
      </c>
      <c r="I69" s="19"/>
      <c r="J69" s="91" t="s">
        <v>361</v>
      </c>
      <c r="K69" s="21" t="n">
        <v>113</v>
      </c>
    </row>
    <row r="70" customFormat="false" ht="15.75" hidden="false" customHeight="true" outlineLevel="0" collapsed="false">
      <c r="A70" s="89" t="n">
        <v>67</v>
      </c>
      <c r="B70" s="11" t="s">
        <v>123</v>
      </c>
      <c r="C70" s="12" t="s">
        <v>1019</v>
      </c>
      <c r="D70" s="13" t="s">
        <v>385</v>
      </c>
      <c r="E70" s="12" t="s">
        <v>47</v>
      </c>
      <c r="F70" s="15" t="s">
        <v>22</v>
      </c>
      <c r="G70" s="18" t="n">
        <v>46052.25</v>
      </c>
      <c r="H70" s="16" t="n">
        <v>1040.001</v>
      </c>
      <c r="I70" s="19"/>
      <c r="J70" s="91" t="s">
        <v>361</v>
      </c>
      <c r="K70" s="21" t="n">
        <v>124</v>
      </c>
    </row>
    <row r="71" customFormat="false" ht="15.75" hidden="false" customHeight="true" outlineLevel="0" collapsed="false">
      <c r="A71" s="89" t="n">
        <v>68</v>
      </c>
      <c r="B71" s="11" t="s">
        <v>126</v>
      </c>
      <c r="C71" s="12" t="s">
        <v>636</v>
      </c>
      <c r="D71" s="13" t="s">
        <v>385</v>
      </c>
      <c r="E71" s="12" t="s">
        <v>23</v>
      </c>
      <c r="F71" s="15" t="s">
        <v>22</v>
      </c>
      <c r="G71" s="18" t="n">
        <v>46052.3402777778</v>
      </c>
      <c r="H71" s="16" t="n">
        <v>1040.004</v>
      </c>
      <c r="I71" s="19"/>
      <c r="J71" s="91" t="s">
        <v>361</v>
      </c>
      <c r="K71" s="21" t="n">
        <v>111</v>
      </c>
    </row>
    <row r="72" customFormat="false" ht="15.75" hidden="false" customHeight="true" outlineLevel="0" collapsed="false">
      <c r="A72" s="89" t="n">
        <v>69</v>
      </c>
      <c r="B72" s="11" t="s">
        <v>182</v>
      </c>
      <c r="C72" s="12" t="s">
        <v>611</v>
      </c>
      <c r="D72" s="13" t="s">
        <v>372</v>
      </c>
      <c r="E72" s="12" t="s">
        <v>23</v>
      </c>
      <c r="F72" s="15" t="s">
        <v>22</v>
      </c>
      <c r="G72" s="18" t="n">
        <v>46055.25</v>
      </c>
      <c r="H72" s="16" t="n">
        <v>2431.2052</v>
      </c>
      <c r="I72" s="19"/>
      <c r="J72" s="91" t="s">
        <v>361</v>
      </c>
      <c r="K72" s="14" t="n">
        <v>83</v>
      </c>
    </row>
    <row r="73" customFormat="false" ht="15.75" hidden="false" customHeight="true" outlineLevel="0" collapsed="false">
      <c r="A73" s="89" t="n">
        <v>70</v>
      </c>
      <c r="B73" s="11" t="s">
        <v>199</v>
      </c>
      <c r="C73" s="12" t="s">
        <v>1020</v>
      </c>
      <c r="D73" s="13" t="s">
        <v>372</v>
      </c>
      <c r="E73" s="12" t="s">
        <v>47</v>
      </c>
      <c r="F73" s="15" t="s">
        <v>22</v>
      </c>
      <c r="G73" s="18" t="n">
        <v>46055.4166666667</v>
      </c>
      <c r="H73" s="16" t="n">
        <v>1560.006</v>
      </c>
      <c r="I73" s="19"/>
      <c r="J73" s="91" t="s">
        <v>361</v>
      </c>
      <c r="K73" s="14" t="n">
        <v>83</v>
      </c>
    </row>
    <row r="74" customFormat="false" ht="15.75" hidden="false" customHeight="true" outlineLevel="0" collapsed="false">
      <c r="A74" s="334" t="n">
        <v>71</v>
      </c>
      <c r="B74" s="22" t="s">
        <v>67</v>
      </c>
      <c r="C74" s="23" t="s">
        <v>1021</v>
      </c>
      <c r="D74" s="24" t="s">
        <v>69</v>
      </c>
      <c r="E74" s="23" t="s">
        <v>38</v>
      </c>
      <c r="F74" s="26" t="s">
        <v>22</v>
      </c>
      <c r="G74" s="29" t="n">
        <v>46056.25</v>
      </c>
      <c r="H74" s="27" t="n">
        <v>5383.0095</v>
      </c>
      <c r="I74" s="335" t="s">
        <v>998</v>
      </c>
      <c r="J74" s="336" t="s">
        <v>361</v>
      </c>
      <c r="K74" s="25" t="n">
        <v>118</v>
      </c>
    </row>
    <row r="75" customFormat="false" ht="15.75" hidden="false" customHeight="true" outlineLevel="0" collapsed="false">
      <c r="A75" s="89" t="n">
        <v>72</v>
      </c>
      <c r="B75" s="11" t="s">
        <v>201</v>
      </c>
      <c r="C75" s="12" t="s">
        <v>1022</v>
      </c>
      <c r="D75" s="13" t="s">
        <v>410</v>
      </c>
      <c r="E75" s="12" t="s">
        <v>23</v>
      </c>
      <c r="F75" s="15" t="s">
        <v>22</v>
      </c>
      <c r="G75" s="18" t="n">
        <v>46056.55625</v>
      </c>
      <c r="H75" s="16" t="n">
        <v>1315.8271</v>
      </c>
      <c r="I75" s="19"/>
      <c r="J75" s="91" t="s">
        <v>361</v>
      </c>
      <c r="K75" s="14" t="n">
        <v>69</v>
      </c>
    </row>
    <row r="76" customFormat="false" ht="15.75" hidden="false" customHeight="true" outlineLevel="0" collapsed="false">
      <c r="A76" s="334" t="n">
        <v>73</v>
      </c>
      <c r="B76" s="22" t="s">
        <v>421</v>
      </c>
      <c r="C76" s="23" t="s">
        <v>988</v>
      </c>
      <c r="D76" s="24" t="s">
        <v>360</v>
      </c>
      <c r="E76" s="23" t="s">
        <v>38</v>
      </c>
      <c r="F76" s="26" t="s">
        <v>22</v>
      </c>
      <c r="G76" s="29" t="n">
        <v>46056.6458333333</v>
      </c>
      <c r="H76" s="27" t="n">
        <v>580</v>
      </c>
      <c r="I76" s="335" t="s">
        <v>998</v>
      </c>
      <c r="J76" s="345" t="s">
        <v>370</v>
      </c>
      <c r="K76" s="46" t="n">
        <v>63</v>
      </c>
    </row>
    <row r="77" customFormat="false" ht="15.75" hidden="false" customHeight="true" outlineLevel="0" collapsed="false">
      <c r="A77" s="89" t="n">
        <v>74</v>
      </c>
      <c r="B77" s="11" t="s">
        <v>59</v>
      </c>
      <c r="C77" s="12" t="s">
        <v>994</v>
      </c>
      <c r="D77" s="13" t="s">
        <v>362</v>
      </c>
      <c r="E77" s="12" t="s">
        <v>47</v>
      </c>
      <c r="F77" s="15" t="s">
        <v>22</v>
      </c>
      <c r="G77" s="18" t="n">
        <v>46058.2986111111</v>
      </c>
      <c r="H77" s="16" t="n">
        <v>7430</v>
      </c>
      <c r="I77" s="19"/>
      <c r="J77" s="91" t="s">
        <v>361</v>
      </c>
      <c r="K77" s="21" t="n">
        <v>137</v>
      </c>
    </row>
    <row r="78" customFormat="false" ht="15.75" hidden="false" customHeight="true" outlineLevel="0" collapsed="false">
      <c r="A78" s="334" t="n">
        <v>75</v>
      </c>
      <c r="B78" s="22" t="s">
        <v>196</v>
      </c>
      <c r="C78" s="23" t="s">
        <v>197</v>
      </c>
      <c r="D78" s="24" t="s">
        <v>409</v>
      </c>
      <c r="E78" s="23" t="s">
        <v>23</v>
      </c>
      <c r="F78" s="26" t="s">
        <v>22</v>
      </c>
      <c r="G78" s="29" t="n">
        <v>46058.3944444444</v>
      </c>
      <c r="H78" s="27" t="n">
        <v>2069.927</v>
      </c>
      <c r="I78" s="335" t="s">
        <v>998</v>
      </c>
      <c r="J78" s="336" t="s">
        <v>361</v>
      </c>
      <c r="K78" s="46" t="n">
        <v>74</v>
      </c>
    </row>
    <row r="79" customFormat="false" ht="15.75" hidden="false" customHeight="true" outlineLevel="0" collapsed="false">
      <c r="A79" s="334" t="n">
        <v>76</v>
      </c>
      <c r="B79" s="22" t="s">
        <v>128</v>
      </c>
      <c r="C79" s="23" t="s">
        <v>1023</v>
      </c>
      <c r="D79" s="24" t="s">
        <v>385</v>
      </c>
      <c r="E79" s="23" t="s">
        <v>23</v>
      </c>
      <c r="F79" s="26" t="s">
        <v>22</v>
      </c>
      <c r="G79" s="29" t="n">
        <v>46058.5</v>
      </c>
      <c r="H79" s="27" t="n">
        <v>1040.004</v>
      </c>
      <c r="I79" s="335" t="s">
        <v>998</v>
      </c>
      <c r="J79" s="336" t="s">
        <v>361</v>
      </c>
      <c r="K79" s="25" t="n">
        <v>298</v>
      </c>
    </row>
    <row r="80" customFormat="false" ht="15.75" hidden="false" customHeight="true" outlineLevel="0" collapsed="false">
      <c r="A80" s="95" t="n">
        <v>77</v>
      </c>
      <c r="B80" s="49" t="s">
        <v>293</v>
      </c>
      <c r="C80" s="50" t="s">
        <v>1024</v>
      </c>
      <c r="D80" s="51" t="s">
        <v>295</v>
      </c>
      <c r="E80" s="54"/>
      <c r="F80" s="53" t="s">
        <v>219</v>
      </c>
      <c r="G80" s="57" t="n">
        <v>46059.25</v>
      </c>
      <c r="H80" s="55" t="n">
        <v>4174.009</v>
      </c>
      <c r="I80" s="58"/>
      <c r="J80" s="103" t="s">
        <v>361</v>
      </c>
      <c r="K80" s="74" t="n">
        <v>82</v>
      </c>
    </row>
    <row r="81" customFormat="false" ht="15.75" hidden="false" customHeight="true" outlineLevel="0" collapsed="false">
      <c r="A81" s="89" t="n">
        <v>78</v>
      </c>
      <c r="B81" s="11" t="s">
        <v>419</v>
      </c>
      <c r="C81" s="12" t="s">
        <v>992</v>
      </c>
      <c r="D81" s="13" t="s">
        <v>376</v>
      </c>
      <c r="E81" s="12" t="s">
        <v>47</v>
      </c>
      <c r="F81" s="15" t="s">
        <v>22</v>
      </c>
      <c r="G81" s="18" t="n">
        <v>46065.375</v>
      </c>
      <c r="H81" s="16" t="n">
        <v>1320</v>
      </c>
      <c r="I81" s="19"/>
      <c r="J81" s="99" t="s">
        <v>370</v>
      </c>
      <c r="K81" s="14" t="n">
        <v>54</v>
      </c>
    </row>
    <row r="82" customFormat="false" ht="15.75" hidden="false" customHeight="true" outlineLevel="0" collapsed="false">
      <c r="A82" s="107" t="n">
        <v>79</v>
      </c>
      <c r="B82" s="63" t="s">
        <v>469</v>
      </c>
      <c r="C82" s="64" t="s">
        <v>1025</v>
      </c>
      <c r="D82" s="65" t="s">
        <v>471</v>
      </c>
      <c r="E82" s="64" t="s">
        <v>47</v>
      </c>
      <c r="F82" s="67" t="s">
        <v>271</v>
      </c>
      <c r="G82" s="70" t="n">
        <v>46066.3333333333</v>
      </c>
      <c r="H82" s="68" t="n">
        <v>460</v>
      </c>
      <c r="I82" s="71"/>
      <c r="J82" s="111" t="s">
        <v>370</v>
      </c>
      <c r="K82" s="66" t="n">
        <v>54</v>
      </c>
    </row>
    <row r="83" customFormat="false" ht="15.75" hidden="false" customHeight="true" outlineLevel="0" collapsed="false">
      <c r="A83" s="89" t="n">
        <v>80</v>
      </c>
      <c r="B83" s="11" t="s">
        <v>195</v>
      </c>
      <c r="C83" s="12" t="s">
        <v>1026</v>
      </c>
      <c r="D83" s="13" t="s">
        <v>149</v>
      </c>
      <c r="E83" s="12" t="s">
        <v>38</v>
      </c>
      <c r="F83" s="15" t="s">
        <v>22</v>
      </c>
      <c r="G83" s="18" t="n">
        <v>46070.25</v>
      </c>
      <c r="H83" s="16" t="n">
        <v>2050.005</v>
      </c>
      <c r="I83" s="19"/>
      <c r="J83" s="91" t="s">
        <v>361</v>
      </c>
      <c r="K83" s="14" t="n">
        <v>57</v>
      </c>
    </row>
    <row r="84" customFormat="false" ht="15.75" hidden="false" customHeight="true" outlineLevel="0" collapsed="false">
      <c r="A84" s="95" t="n">
        <v>81</v>
      </c>
      <c r="B84" s="49" t="s">
        <v>304</v>
      </c>
      <c r="C84" s="50" t="s">
        <v>1027</v>
      </c>
      <c r="D84" s="51" t="s">
        <v>306</v>
      </c>
      <c r="E84" s="54"/>
      <c r="F84" s="53" t="s">
        <v>219</v>
      </c>
      <c r="G84" s="57" t="n">
        <v>46071.25</v>
      </c>
      <c r="H84" s="55" t="n">
        <v>1985</v>
      </c>
      <c r="I84" s="58"/>
      <c r="J84" s="103" t="s">
        <v>361</v>
      </c>
      <c r="K84" s="74" t="n">
        <v>53</v>
      </c>
    </row>
    <row r="85" customFormat="false" ht="15.75" hidden="false" customHeight="true" outlineLevel="0" collapsed="false">
      <c r="A85" s="89" t="n">
        <v>82</v>
      </c>
      <c r="B85" s="11" t="s">
        <v>432</v>
      </c>
      <c r="C85" s="12" t="s">
        <v>433</v>
      </c>
      <c r="D85" s="13" t="s">
        <v>434</v>
      </c>
      <c r="E85" s="12" t="s">
        <v>47</v>
      </c>
      <c r="F85" s="15" t="s">
        <v>22</v>
      </c>
      <c r="G85" s="18" t="n">
        <v>46072.4305555556</v>
      </c>
      <c r="H85" s="16" t="n">
        <v>460</v>
      </c>
      <c r="I85" s="19"/>
      <c r="J85" s="99" t="s">
        <v>370</v>
      </c>
      <c r="K85" s="14" t="n">
        <v>55</v>
      </c>
    </row>
    <row r="86" customFormat="false" ht="15.75" hidden="false" customHeight="true" outlineLevel="0" collapsed="false">
      <c r="A86" s="95" t="n">
        <v>83</v>
      </c>
      <c r="B86" s="49" t="s">
        <v>483</v>
      </c>
      <c r="C86" s="50" t="s">
        <v>1028</v>
      </c>
      <c r="D86" s="51" t="s">
        <v>485</v>
      </c>
      <c r="E86" s="54"/>
      <c r="F86" s="53" t="s">
        <v>219</v>
      </c>
      <c r="G86" s="57" t="n">
        <v>46072.5833333333</v>
      </c>
      <c r="H86" s="55" t="n">
        <v>0</v>
      </c>
      <c r="I86" s="58"/>
      <c r="J86" s="97" t="s">
        <v>370</v>
      </c>
      <c r="K86" s="52" t="n">
        <v>348</v>
      </c>
    </row>
    <row r="87" customFormat="false" ht="15.75" hidden="false" customHeight="true" outlineLevel="0" collapsed="false">
      <c r="A87" s="334" t="n">
        <v>84</v>
      </c>
      <c r="B87" s="22" t="s">
        <v>441</v>
      </c>
      <c r="C87" s="23" t="s">
        <v>563</v>
      </c>
      <c r="D87" s="24" t="s">
        <v>442</v>
      </c>
      <c r="E87" s="23" t="s">
        <v>47</v>
      </c>
      <c r="F87" s="26" t="s">
        <v>22</v>
      </c>
      <c r="G87" s="29" t="n">
        <v>46073.2673611111</v>
      </c>
      <c r="H87" s="27" t="n">
        <v>0</v>
      </c>
      <c r="I87" s="335" t="s">
        <v>998</v>
      </c>
      <c r="J87" s="345" t="s">
        <v>370</v>
      </c>
      <c r="K87" s="46" t="n">
        <v>63</v>
      </c>
    </row>
    <row r="88" customFormat="false" ht="15.75" hidden="false" customHeight="true" outlineLevel="0" collapsed="false">
      <c r="A88" s="334" t="n">
        <v>85</v>
      </c>
      <c r="B88" s="22" t="s">
        <v>440</v>
      </c>
      <c r="C88" s="23" t="s">
        <v>1029</v>
      </c>
      <c r="D88" s="24" t="s">
        <v>396</v>
      </c>
      <c r="E88" s="23" t="s">
        <v>47</v>
      </c>
      <c r="F88" s="26" t="s">
        <v>22</v>
      </c>
      <c r="G88" s="29" t="n">
        <v>46073.4166666667</v>
      </c>
      <c r="H88" s="27" t="n">
        <v>460</v>
      </c>
      <c r="I88" s="335" t="s">
        <v>998</v>
      </c>
      <c r="J88" s="345" t="s">
        <v>370</v>
      </c>
      <c r="K88" s="46" t="n">
        <v>53</v>
      </c>
    </row>
    <row r="89" customFormat="false" ht="15.75" hidden="false" customHeight="true" outlineLevel="0" collapsed="false">
      <c r="A89" s="337" t="n">
        <v>86</v>
      </c>
      <c r="B89" s="114" t="s">
        <v>1030</v>
      </c>
      <c r="C89" s="115" t="s">
        <v>1031</v>
      </c>
      <c r="D89" s="116" t="s">
        <v>413</v>
      </c>
      <c r="E89" s="115" t="s">
        <v>23</v>
      </c>
      <c r="F89" s="338" t="s">
        <v>800</v>
      </c>
      <c r="G89" s="118" t="n">
        <v>46073.5</v>
      </c>
      <c r="H89" s="339" t="n">
        <v>460</v>
      </c>
      <c r="I89" s="340"/>
      <c r="J89" s="341" t="s">
        <v>370</v>
      </c>
      <c r="K89" s="343" t="n">
        <v>46</v>
      </c>
    </row>
    <row r="90" customFormat="false" ht="15.75" hidden="false" customHeight="true" outlineLevel="0" collapsed="false">
      <c r="A90" s="89" t="n">
        <v>87</v>
      </c>
      <c r="B90" s="11" t="s">
        <v>179</v>
      </c>
      <c r="C90" s="12" t="s">
        <v>1032</v>
      </c>
      <c r="D90" s="13" t="s">
        <v>181</v>
      </c>
      <c r="E90" s="12" t="s">
        <v>23</v>
      </c>
      <c r="F90" s="15" t="s">
        <v>22</v>
      </c>
      <c r="G90" s="18" t="n">
        <v>46076.25</v>
      </c>
      <c r="H90" s="16" t="n">
        <v>3133.2258</v>
      </c>
      <c r="I90" s="19"/>
      <c r="J90" s="91" t="s">
        <v>361</v>
      </c>
      <c r="K90" s="14" t="n">
        <v>55</v>
      </c>
    </row>
    <row r="91" customFormat="false" ht="15.75" hidden="false" customHeight="true" outlineLevel="0" collapsed="false">
      <c r="A91" s="334" t="n">
        <v>88</v>
      </c>
      <c r="B91" s="22" t="s">
        <v>435</v>
      </c>
      <c r="C91" s="23" t="s">
        <v>436</v>
      </c>
      <c r="D91" s="24" t="s">
        <v>437</v>
      </c>
      <c r="E91" s="23" t="s">
        <v>47</v>
      </c>
      <c r="F91" s="26" t="s">
        <v>22</v>
      </c>
      <c r="G91" s="29" t="n">
        <v>46076.25</v>
      </c>
      <c r="H91" s="27" t="n">
        <v>460</v>
      </c>
      <c r="I91" s="335" t="s">
        <v>998</v>
      </c>
      <c r="J91" s="345" t="s">
        <v>370</v>
      </c>
      <c r="K91" s="46" t="n">
        <v>43</v>
      </c>
    </row>
    <row r="92" customFormat="false" ht="15.75" hidden="false" customHeight="true" outlineLevel="0" collapsed="false">
      <c r="A92" s="334" t="n">
        <v>89</v>
      </c>
      <c r="B92" s="22" t="s">
        <v>426</v>
      </c>
      <c r="C92" s="23" t="s">
        <v>427</v>
      </c>
      <c r="D92" s="24" t="s">
        <v>428</v>
      </c>
      <c r="E92" s="23" t="s">
        <v>47</v>
      </c>
      <c r="F92" s="26" t="s">
        <v>22</v>
      </c>
      <c r="G92" s="29" t="n">
        <v>46076.5</v>
      </c>
      <c r="H92" s="27" t="n">
        <v>460</v>
      </c>
      <c r="I92" s="335" t="s">
        <v>998</v>
      </c>
      <c r="J92" s="345" t="s">
        <v>370</v>
      </c>
      <c r="K92" s="46" t="n">
        <v>43</v>
      </c>
    </row>
    <row r="93" customFormat="false" ht="15.75" hidden="false" customHeight="true" outlineLevel="0" collapsed="false">
      <c r="A93" s="107" t="n">
        <v>90</v>
      </c>
      <c r="B93" s="63" t="s">
        <v>282</v>
      </c>
      <c r="C93" s="64" t="s">
        <v>1033</v>
      </c>
      <c r="D93" s="65" t="s">
        <v>451</v>
      </c>
      <c r="E93" s="64" t="s">
        <v>285</v>
      </c>
      <c r="F93" s="67" t="s">
        <v>271</v>
      </c>
      <c r="G93" s="70" t="n">
        <v>46076.5</v>
      </c>
      <c r="H93" s="68" t="n">
        <v>680.63</v>
      </c>
      <c r="I93" s="71"/>
      <c r="J93" s="109" t="s">
        <v>361</v>
      </c>
      <c r="K93" s="66" t="n">
        <v>43</v>
      </c>
    </row>
    <row r="94" customFormat="false" ht="15.75" hidden="false" customHeight="true" outlineLevel="0" collapsed="false">
      <c r="A94" s="334" t="n">
        <v>91</v>
      </c>
      <c r="B94" s="22" t="s">
        <v>174</v>
      </c>
      <c r="C94" s="23" t="s">
        <v>1034</v>
      </c>
      <c r="D94" s="24" t="s">
        <v>385</v>
      </c>
      <c r="E94" s="23" t="s">
        <v>38</v>
      </c>
      <c r="F94" s="26" t="s">
        <v>22</v>
      </c>
      <c r="G94" s="29" t="n">
        <v>46077.4479166667</v>
      </c>
      <c r="H94" s="27" t="n">
        <v>3435.009</v>
      </c>
      <c r="I94" s="335" t="s">
        <v>998</v>
      </c>
      <c r="J94" s="336" t="s">
        <v>361</v>
      </c>
      <c r="K94" s="46" t="n">
        <v>62</v>
      </c>
    </row>
    <row r="95" customFormat="false" ht="15.75" hidden="false" customHeight="true" outlineLevel="0" collapsed="false">
      <c r="A95" s="334" t="n">
        <v>92</v>
      </c>
      <c r="B95" s="22" t="s">
        <v>210</v>
      </c>
      <c r="C95" s="23" t="s">
        <v>672</v>
      </c>
      <c r="D95" s="24" t="s">
        <v>385</v>
      </c>
      <c r="E95" s="23" t="s">
        <v>38</v>
      </c>
      <c r="F95" s="26" t="s">
        <v>22</v>
      </c>
      <c r="G95" s="29" t="n">
        <v>46077.4583333333</v>
      </c>
      <c r="H95" s="27" t="n">
        <v>650</v>
      </c>
      <c r="I95" s="335" t="s">
        <v>998</v>
      </c>
      <c r="J95" s="336" t="s">
        <v>361</v>
      </c>
      <c r="K95" s="46" t="n">
        <v>43</v>
      </c>
    </row>
    <row r="96" customFormat="false" ht="15.75" hidden="false" customHeight="true" outlineLevel="0" collapsed="false">
      <c r="A96" s="334" t="n">
        <v>93</v>
      </c>
      <c r="B96" s="22" t="s">
        <v>171</v>
      </c>
      <c r="C96" s="23" t="s">
        <v>172</v>
      </c>
      <c r="D96" s="24" t="s">
        <v>173</v>
      </c>
      <c r="E96" s="23" t="s">
        <v>47</v>
      </c>
      <c r="F96" s="26" t="s">
        <v>22</v>
      </c>
      <c r="G96" s="29" t="n">
        <v>46078.3541666667</v>
      </c>
      <c r="H96" s="27" t="n">
        <v>4568.813</v>
      </c>
      <c r="I96" s="335" t="s">
        <v>998</v>
      </c>
      <c r="J96" s="336" t="s">
        <v>361</v>
      </c>
      <c r="K96" s="46" t="n">
        <v>50</v>
      </c>
    </row>
    <row r="97" customFormat="false" ht="15.75" hidden="false" customHeight="true" outlineLevel="0" collapsed="false">
      <c r="A97" s="334" t="n">
        <v>94</v>
      </c>
      <c r="B97" s="22" t="s">
        <v>445</v>
      </c>
      <c r="C97" s="23" t="s">
        <v>563</v>
      </c>
      <c r="D97" s="24" t="s">
        <v>116</v>
      </c>
      <c r="E97" s="23" t="s">
        <v>47</v>
      </c>
      <c r="F97" s="26" t="s">
        <v>22</v>
      </c>
      <c r="G97" s="29" t="n">
        <v>46078.4166666667</v>
      </c>
      <c r="H97" s="27" t="n">
        <v>0</v>
      </c>
      <c r="I97" s="335" t="s">
        <v>998</v>
      </c>
      <c r="J97" s="345" t="s">
        <v>370</v>
      </c>
      <c r="K97" s="46" t="n">
        <v>83</v>
      </c>
    </row>
    <row r="98" customFormat="false" ht="15.75" hidden="false" customHeight="true" outlineLevel="0" collapsed="false">
      <c r="A98" s="334" t="n">
        <v>95</v>
      </c>
      <c r="B98" s="22" t="s">
        <v>1035</v>
      </c>
      <c r="C98" s="23" t="s">
        <v>1036</v>
      </c>
      <c r="D98" s="24" t="s">
        <v>385</v>
      </c>
      <c r="E98" s="23" t="s">
        <v>47</v>
      </c>
      <c r="F98" s="346" t="s">
        <v>800</v>
      </c>
      <c r="G98" s="29" t="n">
        <v>46078.5</v>
      </c>
      <c r="H98" s="27" t="n">
        <v>0</v>
      </c>
      <c r="I98" s="335" t="s">
        <v>998</v>
      </c>
      <c r="J98" s="345" t="s">
        <v>370</v>
      </c>
      <c r="K98" s="46" t="n">
        <v>41</v>
      </c>
    </row>
    <row r="99" customFormat="false" ht="15.75" hidden="false" customHeight="true" outlineLevel="0" collapsed="false">
      <c r="A99" s="89" t="n">
        <v>96</v>
      </c>
      <c r="B99" s="11" t="s">
        <v>184</v>
      </c>
      <c r="C99" s="12" t="s">
        <v>1026</v>
      </c>
      <c r="D99" s="13" t="s">
        <v>149</v>
      </c>
      <c r="E99" s="12" t="s">
        <v>23</v>
      </c>
      <c r="F99" s="15" t="s">
        <v>22</v>
      </c>
      <c r="G99" s="18" t="n">
        <v>46080.25</v>
      </c>
      <c r="H99" s="16" t="n">
        <v>2340</v>
      </c>
      <c r="I99" s="19"/>
      <c r="J99" s="91" t="s">
        <v>361</v>
      </c>
      <c r="K99" s="14" t="n">
        <v>57</v>
      </c>
    </row>
    <row r="100" customFormat="false" ht="15.75" hidden="false" customHeight="true" outlineLevel="0" collapsed="false">
      <c r="A100" s="89" t="n">
        <v>97</v>
      </c>
      <c r="B100" s="11" t="s">
        <v>438</v>
      </c>
      <c r="C100" s="12" t="s">
        <v>530</v>
      </c>
      <c r="D100" s="13" t="s">
        <v>385</v>
      </c>
      <c r="E100" s="12" t="s">
        <v>38</v>
      </c>
      <c r="F100" s="15" t="s">
        <v>22</v>
      </c>
      <c r="G100" s="18" t="n">
        <v>46080.4166666667</v>
      </c>
      <c r="H100" s="16" t="n">
        <v>460</v>
      </c>
      <c r="I100" s="19"/>
      <c r="J100" s="99" t="s">
        <v>370</v>
      </c>
      <c r="K100" s="14" t="n">
        <v>39</v>
      </c>
    </row>
    <row r="101" customFormat="false" ht="15.75" hidden="false" customHeight="true" outlineLevel="0" collapsed="false">
      <c r="A101" s="89" t="n">
        <v>98</v>
      </c>
      <c r="B101" s="11" t="s">
        <v>425</v>
      </c>
      <c r="C101" s="12" t="s">
        <v>781</v>
      </c>
      <c r="D101" s="13" t="s">
        <v>385</v>
      </c>
      <c r="E101" s="12" t="s">
        <v>47</v>
      </c>
      <c r="F101" s="15" t="s">
        <v>22</v>
      </c>
      <c r="G101" s="18" t="n">
        <v>46080.5833333333</v>
      </c>
      <c r="H101" s="16" t="n">
        <v>460</v>
      </c>
      <c r="I101" s="19"/>
      <c r="J101" s="99" t="s">
        <v>370</v>
      </c>
      <c r="K101" s="14" t="n">
        <v>43</v>
      </c>
    </row>
    <row r="102" customFormat="false" ht="15.75" hidden="false" customHeight="true" outlineLevel="0" collapsed="false">
      <c r="A102" s="107" t="n">
        <v>99</v>
      </c>
      <c r="B102" s="63" t="s">
        <v>474</v>
      </c>
      <c r="C102" s="64" t="s">
        <v>475</v>
      </c>
      <c r="D102" s="65" t="s">
        <v>476</v>
      </c>
      <c r="E102" s="64" t="s">
        <v>285</v>
      </c>
      <c r="F102" s="67" t="s">
        <v>271</v>
      </c>
      <c r="G102" s="70" t="n">
        <v>46083.5</v>
      </c>
      <c r="H102" s="68" t="n">
        <v>460</v>
      </c>
      <c r="I102" s="71"/>
      <c r="J102" s="111" t="s">
        <v>370</v>
      </c>
      <c r="K102" s="66" t="n">
        <v>39</v>
      </c>
    </row>
    <row r="103" customFormat="false" ht="15.75" hidden="false" customHeight="true" outlineLevel="0" collapsed="false">
      <c r="A103" s="89" t="n">
        <v>100</v>
      </c>
      <c r="B103" s="11" t="s">
        <v>423</v>
      </c>
      <c r="C103" s="12" t="s">
        <v>781</v>
      </c>
      <c r="D103" s="13" t="s">
        <v>385</v>
      </c>
      <c r="E103" s="12" t="s">
        <v>47</v>
      </c>
      <c r="F103" s="15" t="s">
        <v>22</v>
      </c>
      <c r="G103" s="18" t="n">
        <v>46083.5277777778</v>
      </c>
      <c r="H103" s="16" t="n">
        <v>460</v>
      </c>
      <c r="I103" s="19"/>
      <c r="J103" s="99" t="s">
        <v>370</v>
      </c>
      <c r="K103" s="14" t="n">
        <v>39</v>
      </c>
    </row>
    <row r="104" customFormat="false" ht="15.75" hidden="false" customHeight="true" outlineLevel="0" collapsed="false">
      <c r="A104" s="89" t="n">
        <v>101</v>
      </c>
      <c r="B104" s="11" t="s">
        <v>165</v>
      </c>
      <c r="C104" s="12" t="s">
        <v>166</v>
      </c>
      <c r="D104" s="13" t="s">
        <v>167</v>
      </c>
      <c r="E104" s="12" t="s">
        <v>47</v>
      </c>
      <c r="F104" s="15" t="s">
        <v>22</v>
      </c>
      <c r="G104" s="18" t="n">
        <v>46084.25</v>
      </c>
      <c r="H104" s="16" t="n">
        <v>4947.5221</v>
      </c>
      <c r="I104" s="19"/>
      <c r="J104" s="91" t="s">
        <v>361</v>
      </c>
      <c r="K104" s="14" t="n">
        <v>60</v>
      </c>
    </row>
    <row r="105" customFormat="false" ht="15.75" hidden="false" customHeight="true" outlineLevel="0" collapsed="false">
      <c r="A105" s="89" t="n">
        <v>102</v>
      </c>
      <c r="B105" s="11" t="s">
        <v>35</v>
      </c>
      <c r="C105" s="12" t="s">
        <v>1037</v>
      </c>
      <c r="D105" s="13" t="s">
        <v>363</v>
      </c>
      <c r="E105" s="12" t="s">
        <v>38</v>
      </c>
      <c r="F105" s="15" t="s">
        <v>22</v>
      </c>
      <c r="G105" s="18" t="n">
        <v>46084.3784722222</v>
      </c>
      <c r="H105" s="16" t="n">
        <v>11120.0209</v>
      </c>
      <c r="I105" s="19"/>
      <c r="J105" s="91" t="s">
        <v>361</v>
      </c>
      <c r="K105" s="21" t="n">
        <v>305</v>
      </c>
    </row>
    <row r="106" customFormat="false" ht="15.75" hidden="false" customHeight="true" outlineLevel="0" collapsed="false">
      <c r="A106" s="334" t="n">
        <v>103</v>
      </c>
      <c r="B106" s="22" t="s">
        <v>1038</v>
      </c>
      <c r="C106" s="23" t="s">
        <v>759</v>
      </c>
      <c r="D106" s="24" t="s">
        <v>1039</v>
      </c>
      <c r="E106" s="23" t="s">
        <v>23</v>
      </c>
      <c r="F106" s="346" t="s">
        <v>800</v>
      </c>
      <c r="G106" s="29" t="n">
        <v>46084.5416666667</v>
      </c>
      <c r="H106" s="27" t="n">
        <v>460</v>
      </c>
      <c r="I106" s="335" t="s">
        <v>998</v>
      </c>
      <c r="J106" s="345" t="s">
        <v>370</v>
      </c>
      <c r="K106" s="46" t="n">
        <v>36</v>
      </c>
    </row>
    <row r="107" customFormat="false" ht="15.75" hidden="false" customHeight="true" outlineLevel="0" collapsed="false">
      <c r="A107" s="334" t="n">
        <v>104</v>
      </c>
      <c r="B107" s="22" t="s">
        <v>429</v>
      </c>
      <c r="C107" s="23" t="s">
        <v>1040</v>
      </c>
      <c r="D107" s="24" t="s">
        <v>431</v>
      </c>
      <c r="E107" s="23" t="s">
        <v>23</v>
      </c>
      <c r="F107" s="26" t="s">
        <v>22</v>
      </c>
      <c r="G107" s="29" t="n">
        <v>46084.5833333333</v>
      </c>
      <c r="H107" s="27" t="n">
        <v>460</v>
      </c>
      <c r="I107" s="335" t="s">
        <v>998</v>
      </c>
      <c r="J107" s="345" t="s">
        <v>370</v>
      </c>
      <c r="K107" s="46" t="n">
        <v>35</v>
      </c>
    </row>
    <row r="108" customFormat="false" ht="15.75" hidden="false" customHeight="true" outlineLevel="0" collapsed="false">
      <c r="A108" s="89" t="n">
        <v>105</v>
      </c>
      <c r="B108" s="11" t="s">
        <v>443</v>
      </c>
      <c r="C108" s="12" t="s">
        <v>1041</v>
      </c>
      <c r="D108" s="13" t="s">
        <v>385</v>
      </c>
      <c r="E108" s="12" t="s">
        <v>47</v>
      </c>
      <c r="F108" s="15" t="s">
        <v>22</v>
      </c>
      <c r="G108" s="18" t="n">
        <v>46085.2916666667</v>
      </c>
      <c r="H108" s="16" t="n">
        <v>0</v>
      </c>
      <c r="I108" s="19"/>
      <c r="J108" s="99" t="s">
        <v>370</v>
      </c>
      <c r="K108" s="14" t="n">
        <v>35</v>
      </c>
    </row>
    <row r="109" customFormat="false" ht="15.75" hidden="false" customHeight="true" outlineLevel="0" collapsed="false">
      <c r="A109" s="89" t="n">
        <v>106</v>
      </c>
      <c r="B109" s="11" t="s">
        <v>48</v>
      </c>
      <c r="C109" s="12" t="s">
        <v>1042</v>
      </c>
      <c r="D109" s="13" t="s">
        <v>365</v>
      </c>
      <c r="E109" s="12" t="s">
        <v>23</v>
      </c>
      <c r="F109" s="15" t="s">
        <v>22</v>
      </c>
      <c r="G109" s="18" t="n">
        <v>46085.5</v>
      </c>
      <c r="H109" s="16" t="n">
        <v>13702.25</v>
      </c>
      <c r="I109" s="19"/>
      <c r="J109" s="91" t="s">
        <v>361</v>
      </c>
      <c r="K109" s="14" t="n">
        <v>34</v>
      </c>
    </row>
    <row r="110" customFormat="false" ht="15.75" hidden="false" customHeight="true" outlineLevel="0" collapsed="false">
      <c r="A110" s="337" t="n">
        <v>107</v>
      </c>
      <c r="B110" s="114" t="s">
        <v>1043</v>
      </c>
      <c r="C110" s="115" t="s">
        <v>1044</v>
      </c>
      <c r="D110" s="116" t="s">
        <v>465</v>
      </c>
      <c r="E110" s="115" t="s">
        <v>47</v>
      </c>
      <c r="F110" s="338" t="s">
        <v>800</v>
      </c>
      <c r="G110" s="118" t="n">
        <v>46086.4166666667</v>
      </c>
      <c r="H110" s="339" t="n">
        <v>460</v>
      </c>
      <c r="I110" s="340"/>
      <c r="J110" s="341" t="s">
        <v>370</v>
      </c>
      <c r="K110" s="343" t="n">
        <v>33</v>
      </c>
    </row>
    <row r="111" customFormat="false" ht="15.75" hidden="false" customHeight="true" outlineLevel="0" collapsed="false">
      <c r="A111" s="89" t="n">
        <v>108</v>
      </c>
      <c r="B111" s="11" t="s">
        <v>186</v>
      </c>
      <c r="C111" s="12" t="s">
        <v>1045</v>
      </c>
      <c r="D111" s="13" t="s">
        <v>407</v>
      </c>
      <c r="E111" s="12" t="s">
        <v>189</v>
      </c>
      <c r="F111" s="15" t="s">
        <v>22</v>
      </c>
      <c r="G111" s="18" t="n">
        <v>46086.4833333333</v>
      </c>
      <c r="H111" s="16" t="n">
        <v>2388.008</v>
      </c>
      <c r="I111" s="19"/>
      <c r="J111" s="91" t="s">
        <v>361</v>
      </c>
      <c r="K111" s="14" t="n">
        <v>39</v>
      </c>
    </row>
    <row r="112" customFormat="false" ht="15.75" hidden="false" customHeight="true" outlineLevel="0" collapsed="false">
      <c r="A112" s="89" t="n">
        <v>109</v>
      </c>
      <c r="B112" s="11" t="s">
        <v>176</v>
      </c>
      <c r="C112" s="12" t="s">
        <v>1046</v>
      </c>
      <c r="D112" s="13" t="s">
        <v>406</v>
      </c>
      <c r="E112" s="12" t="s">
        <v>23</v>
      </c>
      <c r="F112" s="15" t="s">
        <v>22</v>
      </c>
      <c r="G112" s="18" t="n">
        <v>46087.4166666667</v>
      </c>
      <c r="H112" s="16" t="n">
        <v>3183.004</v>
      </c>
      <c r="I112" s="19"/>
      <c r="J112" s="91" t="s">
        <v>361</v>
      </c>
      <c r="K112" s="14" t="n">
        <v>35</v>
      </c>
    </row>
    <row r="113" customFormat="false" ht="15.75" hidden="false" customHeight="true" outlineLevel="0" collapsed="false">
      <c r="A113" s="337" t="n">
        <v>110</v>
      </c>
      <c r="B113" s="114" t="s">
        <v>1047</v>
      </c>
      <c r="C113" s="115" t="s">
        <v>1013</v>
      </c>
      <c r="D113" s="116" t="s">
        <v>298</v>
      </c>
      <c r="E113" s="115" t="s">
        <v>38</v>
      </c>
      <c r="F113" s="338" t="s">
        <v>800</v>
      </c>
      <c r="G113" s="118" t="n">
        <v>46087.5625</v>
      </c>
      <c r="H113" s="339" t="n">
        <v>0</v>
      </c>
      <c r="I113" s="340"/>
      <c r="J113" s="341" t="s">
        <v>370</v>
      </c>
      <c r="K113" s="343" t="n">
        <v>32</v>
      </c>
    </row>
    <row r="114" customFormat="false" ht="15.75" hidden="false" customHeight="true" outlineLevel="0" collapsed="false">
      <c r="A114" s="89" t="n">
        <v>111</v>
      </c>
      <c r="B114" s="11" t="s">
        <v>207</v>
      </c>
      <c r="C114" s="12" t="s">
        <v>1048</v>
      </c>
      <c r="D114" s="13" t="s">
        <v>411</v>
      </c>
      <c r="E114" s="12" t="s">
        <v>38</v>
      </c>
      <c r="F114" s="15" t="s">
        <v>22</v>
      </c>
      <c r="G114" s="18" t="n">
        <v>46090.25</v>
      </c>
      <c r="H114" s="16" t="n">
        <v>1040</v>
      </c>
      <c r="I114" s="19"/>
      <c r="J114" s="91" t="s">
        <v>361</v>
      </c>
      <c r="K114" s="14" t="n">
        <v>36</v>
      </c>
    </row>
    <row r="115" customFormat="false" ht="15.75" hidden="false" customHeight="true" outlineLevel="0" collapsed="false">
      <c r="A115" s="337" t="n">
        <v>112</v>
      </c>
      <c r="B115" s="114" t="s">
        <v>1049</v>
      </c>
      <c r="C115" s="115" t="s">
        <v>1028</v>
      </c>
      <c r="D115" s="116" t="s">
        <v>485</v>
      </c>
      <c r="E115" s="115" t="s">
        <v>23</v>
      </c>
      <c r="F115" s="338" t="s">
        <v>800</v>
      </c>
      <c r="G115" s="118" t="n">
        <v>46090.3777777778</v>
      </c>
      <c r="H115" s="339" t="n">
        <v>460</v>
      </c>
      <c r="I115" s="340"/>
      <c r="J115" s="341" t="s">
        <v>370</v>
      </c>
      <c r="K115" s="347" t="n">
        <v>29</v>
      </c>
    </row>
    <row r="116" customFormat="false" ht="15.75" hidden="false" customHeight="true" outlineLevel="0" collapsed="false">
      <c r="A116" s="89" t="n">
        <v>113</v>
      </c>
      <c r="B116" s="11" t="s">
        <v>460</v>
      </c>
      <c r="C116" s="12" t="s">
        <v>436</v>
      </c>
      <c r="D116" s="13" t="s">
        <v>437</v>
      </c>
      <c r="E116" s="12" t="s">
        <v>38</v>
      </c>
      <c r="F116" s="15" t="s">
        <v>22</v>
      </c>
      <c r="G116" s="18" t="n">
        <v>46091.25</v>
      </c>
      <c r="H116" s="16" t="n">
        <v>460</v>
      </c>
      <c r="I116" s="19"/>
      <c r="J116" s="99" t="s">
        <v>370</v>
      </c>
      <c r="K116" s="47" t="n">
        <v>29</v>
      </c>
    </row>
    <row r="117" customFormat="false" ht="15.75" hidden="false" customHeight="true" outlineLevel="0" collapsed="false">
      <c r="A117" s="95" t="n">
        <v>114</v>
      </c>
      <c r="B117" s="49" t="s">
        <v>309</v>
      </c>
      <c r="C117" s="50" t="s">
        <v>1050</v>
      </c>
      <c r="D117" s="51" t="s">
        <v>385</v>
      </c>
      <c r="E117" s="54"/>
      <c r="F117" s="53" t="s">
        <v>219</v>
      </c>
      <c r="G117" s="57" t="n">
        <v>46092.5</v>
      </c>
      <c r="H117" s="55" t="n">
        <v>660.513</v>
      </c>
      <c r="I117" s="58"/>
      <c r="J117" s="103" t="s">
        <v>361</v>
      </c>
      <c r="K117" s="74" t="n">
        <v>40</v>
      </c>
    </row>
    <row r="118" customFormat="false" ht="15.75" hidden="false" customHeight="true" outlineLevel="0" collapsed="false">
      <c r="A118" s="337" t="n">
        <v>115</v>
      </c>
      <c r="B118" s="114" t="s">
        <v>1051</v>
      </c>
      <c r="C118" s="115" t="s">
        <v>1052</v>
      </c>
      <c r="D118" s="116" t="s">
        <v>493</v>
      </c>
      <c r="E118" s="115" t="s">
        <v>23</v>
      </c>
      <c r="F118" s="338" t="s">
        <v>800</v>
      </c>
      <c r="G118" s="118" t="n">
        <v>46092.5416666667</v>
      </c>
      <c r="H118" s="339" t="n">
        <v>460</v>
      </c>
      <c r="I118" s="340"/>
      <c r="J118" s="341" t="s">
        <v>370</v>
      </c>
      <c r="K118" s="347" t="n">
        <v>28</v>
      </c>
    </row>
    <row r="119" customFormat="false" ht="15.75" hidden="false" customHeight="true" outlineLevel="0" collapsed="false">
      <c r="A119" s="334" t="n">
        <v>116</v>
      </c>
      <c r="B119" s="22" t="s">
        <v>204</v>
      </c>
      <c r="C119" s="23" t="s">
        <v>1053</v>
      </c>
      <c r="D119" s="24" t="s">
        <v>412</v>
      </c>
      <c r="E119" s="23" t="s">
        <v>38</v>
      </c>
      <c r="F119" s="26" t="s">
        <v>22</v>
      </c>
      <c r="G119" s="29" t="n">
        <v>46093.25</v>
      </c>
      <c r="H119" s="27" t="n">
        <v>1040.004</v>
      </c>
      <c r="I119" s="335" t="s">
        <v>998</v>
      </c>
      <c r="J119" s="336" t="s">
        <v>361</v>
      </c>
      <c r="K119" s="46" t="n">
        <v>41</v>
      </c>
    </row>
    <row r="120" customFormat="false" ht="15.75" hidden="false" customHeight="true" outlineLevel="0" collapsed="false">
      <c r="A120" s="334" t="n">
        <v>117</v>
      </c>
      <c r="B120" s="22" t="s">
        <v>1054</v>
      </c>
      <c r="C120" s="23" t="s">
        <v>317</v>
      </c>
      <c r="D120" s="24" t="s">
        <v>478</v>
      </c>
      <c r="E120" s="23" t="s">
        <v>38</v>
      </c>
      <c r="F120" s="346" t="s">
        <v>800</v>
      </c>
      <c r="G120" s="29" t="n">
        <v>46093.3645833333</v>
      </c>
      <c r="H120" s="27" t="n">
        <v>0</v>
      </c>
      <c r="I120" s="335" t="s">
        <v>998</v>
      </c>
      <c r="J120" s="345" t="s">
        <v>370</v>
      </c>
      <c r="K120" s="60" t="n">
        <v>29</v>
      </c>
    </row>
    <row r="121" customFormat="false" ht="15.75" hidden="false" customHeight="true" outlineLevel="0" collapsed="false">
      <c r="A121" s="89" t="n">
        <v>118</v>
      </c>
      <c r="B121" s="11" t="s">
        <v>457</v>
      </c>
      <c r="C121" s="12" t="s">
        <v>1055</v>
      </c>
      <c r="D121" s="13" t="s">
        <v>459</v>
      </c>
      <c r="E121" s="12" t="s">
        <v>23</v>
      </c>
      <c r="F121" s="15" t="s">
        <v>22</v>
      </c>
      <c r="G121" s="18" t="n">
        <v>46093.5416666667</v>
      </c>
      <c r="H121" s="16" t="n">
        <v>460</v>
      </c>
      <c r="I121" s="19"/>
      <c r="J121" s="99" t="s">
        <v>370</v>
      </c>
      <c r="K121" s="47" t="n">
        <v>26</v>
      </c>
    </row>
    <row r="122" customFormat="false" ht="15.75" hidden="false" customHeight="true" outlineLevel="0" collapsed="false">
      <c r="A122" s="337" t="n">
        <v>119</v>
      </c>
      <c r="B122" s="114" t="s">
        <v>1056</v>
      </c>
      <c r="C122" s="115" t="s">
        <v>1057</v>
      </c>
      <c r="D122" s="116" t="s">
        <v>494</v>
      </c>
      <c r="E122" s="115" t="s">
        <v>819</v>
      </c>
      <c r="F122" s="338" t="s">
        <v>800</v>
      </c>
      <c r="G122" s="118" t="n">
        <v>46094.2916666667</v>
      </c>
      <c r="H122" s="339" t="n">
        <v>130</v>
      </c>
      <c r="I122" s="340"/>
      <c r="J122" s="341" t="s">
        <v>370</v>
      </c>
      <c r="K122" s="347" t="n">
        <v>26</v>
      </c>
    </row>
    <row r="123" customFormat="false" ht="15.75" hidden="false" customHeight="true" outlineLevel="0" collapsed="false">
      <c r="A123" s="95" t="n">
        <v>120</v>
      </c>
      <c r="B123" s="49" t="s">
        <v>223</v>
      </c>
      <c r="C123" s="50" t="s">
        <v>1058</v>
      </c>
      <c r="D123" s="51" t="s">
        <v>414</v>
      </c>
      <c r="E123" s="54"/>
      <c r="F123" s="53" t="s">
        <v>219</v>
      </c>
      <c r="G123" s="57" t="n">
        <v>46097.25</v>
      </c>
      <c r="H123" s="55" t="n">
        <v>7105.15</v>
      </c>
      <c r="I123" s="58"/>
      <c r="J123" s="103" t="s">
        <v>361</v>
      </c>
      <c r="K123" s="52" t="n">
        <v>326</v>
      </c>
    </row>
    <row r="124" customFormat="false" ht="15.75" hidden="false" customHeight="true" outlineLevel="0" collapsed="false">
      <c r="A124" s="337" t="n">
        <v>121</v>
      </c>
      <c r="B124" s="114" t="s">
        <v>1059</v>
      </c>
      <c r="C124" s="115" t="s">
        <v>1060</v>
      </c>
      <c r="D124" s="116" t="s">
        <v>360</v>
      </c>
      <c r="E124" s="115" t="s">
        <v>38</v>
      </c>
      <c r="F124" s="338" t="s">
        <v>800</v>
      </c>
      <c r="G124" s="118" t="n">
        <v>46097.40625</v>
      </c>
      <c r="H124" s="339" t="n">
        <v>460</v>
      </c>
      <c r="I124" s="340"/>
      <c r="J124" s="341" t="s">
        <v>370</v>
      </c>
      <c r="K124" s="347" t="n">
        <v>25</v>
      </c>
    </row>
    <row r="125" customFormat="false" ht="15.75" hidden="false" customHeight="true" outlineLevel="0" collapsed="false">
      <c r="A125" s="89" t="n">
        <v>122</v>
      </c>
      <c r="B125" s="11" t="s">
        <v>452</v>
      </c>
      <c r="C125" s="12" t="s">
        <v>1061</v>
      </c>
      <c r="D125" s="13" t="s">
        <v>385</v>
      </c>
      <c r="E125" s="12" t="s">
        <v>285</v>
      </c>
      <c r="F125" s="15" t="s">
        <v>22</v>
      </c>
      <c r="G125" s="18" t="n">
        <v>46097.6666666667</v>
      </c>
      <c r="H125" s="16" t="n">
        <v>580</v>
      </c>
      <c r="I125" s="19"/>
      <c r="J125" s="99" t="s">
        <v>370</v>
      </c>
      <c r="K125" s="47" t="n">
        <v>22</v>
      </c>
    </row>
    <row r="126" customFormat="false" ht="15.75" hidden="false" customHeight="true" outlineLevel="0" collapsed="false">
      <c r="A126" s="89" t="n">
        <v>123</v>
      </c>
      <c r="B126" s="11" t="s">
        <v>192</v>
      </c>
      <c r="C126" s="12" t="s">
        <v>1062</v>
      </c>
      <c r="D126" s="13" t="s">
        <v>408</v>
      </c>
      <c r="E126" s="12" t="s">
        <v>38</v>
      </c>
      <c r="F126" s="15" t="s">
        <v>22</v>
      </c>
      <c r="G126" s="18" t="n">
        <v>46099.25</v>
      </c>
      <c r="H126" s="16" t="n">
        <v>2425.8222</v>
      </c>
      <c r="I126" s="19"/>
      <c r="J126" s="91" t="s">
        <v>361</v>
      </c>
      <c r="K126" s="14" t="n">
        <v>48</v>
      </c>
    </row>
    <row r="127" customFormat="false" ht="15.75" hidden="false" customHeight="true" outlineLevel="0" collapsed="false">
      <c r="A127" s="95" t="n">
        <v>124</v>
      </c>
      <c r="B127" s="49" t="s">
        <v>504</v>
      </c>
      <c r="C127" s="50" t="s">
        <v>1013</v>
      </c>
      <c r="D127" s="51" t="s">
        <v>298</v>
      </c>
      <c r="E127" s="54"/>
      <c r="F127" s="53" t="s">
        <v>219</v>
      </c>
      <c r="G127" s="57" t="n">
        <v>46099.25</v>
      </c>
      <c r="H127" s="55" t="n">
        <v>580</v>
      </c>
      <c r="I127" s="58"/>
      <c r="J127" s="97" t="s">
        <v>370</v>
      </c>
      <c r="K127" s="73" t="n">
        <v>25</v>
      </c>
    </row>
    <row r="128" customFormat="false" ht="15.75" hidden="false" customHeight="true" outlineLevel="0" collapsed="false">
      <c r="A128" s="337" t="n">
        <v>125</v>
      </c>
      <c r="B128" s="114" t="s">
        <v>1063</v>
      </c>
      <c r="C128" s="115" t="s">
        <v>1064</v>
      </c>
      <c r="D128" s="116" t="s">
        <v>385</v>
      </c>
      <c r="E128" s="115" t="s">
        <v>23</v>
      </c>
      <c r="F128" s="338" t="s">
        <v>800</v>
      </c>
      <c r="G128" s="118" t="n">
        <v>46101.25</v>
      </c>
      <c r="H128" s="339" t="n">
        <v>0</v>
      </c>
      <c r="I128" s="340"/>
      <c r="J128" s="344" t="s">
        <v>361</v>
      </c>
      <c r="K128" s="343" t="n">
        <v>40</v>
      </c>
    </row>
    <row r="129" customFormat="false" ht="15.75" hidden="false" customHeight="true" outlineLevel="0" collapsed="false">
      <c r="A129" s="89" t="n">
        <v>126</v>
      </c>
      <c r="B129" s="11" t="s">
        <v>86</v>
      </c>
      <c r="C129" s="12" t="s">
        <v>755</v>
      </c>
      <c r="D129" s="13" t="s">
        <v>88</v>
      </c>
      <c r="E129" s="12" t="s">
        <v>47</v>
      </c>
      <c r="F129" s="15" t="s">
        <v>22</v>
      </c>
      <c r="G129" s="18" t="n">
        <v>46101.375</v>
      </c>
      <c r="H129" s="16" t="n">
        <v>2640</v>
      </c>
      <c r="I129" s="19"/>
      <c r="J129" s="91" t="s">
        <v>361</v>
      </c>
      <c r="K129" s="21" t="n">
        <v>120</v>
      </c>
    </row>
    <row r="130" customFormat="false" ht="15.75" hidden="false" customHeight="true" outlineLevel="0" collapsed="false">
      <c r="A130" s="95" t="n">
        <v>127</v>
      </c>
      <c r="B130" s="49" t="s">
        <v>506</v>
      </c>
      <c r="C130" s="50" t="s">
        <v>1065</v>
      </c>
      <c r="D130" s="51" t="s">
        <v>372</v>
      </c>
      <c r="E130" s="54"/>
      <c r="F130" s="53" t="s">
        <v>219</v>
      </c>
      <c r="G130" s="57" t="n">
        <v>46101.5416666667</v>
      </c>
      <c r="H130" s="55" t="n">
        <v>460</v>
      </c>
      <c r="I130" s="58"/>
      <c r="J130" s="97" t="s">
        <v>370</v>
      </c>
      <c r="K130" s="73" t="n">
        <v>20</v>
      </c>
    </row>
    <row r="131" customFormat="false" ht="15.75" hidden="false" customHeight="true" outlineLevel="0" collapsed="false">
      <c r="A131" s="107" t="n">
        <v>128</v>
      </c>
      <c r="B131" s="63" t="s">
        <v>269</v>
      </c>
      <c r="C131" s="64" t="s">
        <v>699</v>
      </c>
      <c r="D131" s="65" t="s">
        <v>113</v>
      </c>
      <c r="E131" s="64" t="s">
        <v>47</v>
      </c>
      <c r="F131" s="67" t="s">
        <v>271</v>
      </c>
      <c r="G131" s="70" t="n">
        <v>46102.3333333333</v>
      </c>
      <c r="H131" s="68" t="n">
        <v>1740</v>
      </c>
      <c r="I131" s="71"/>
      <c r="J131" s="109" t="s">
        <v>361</v>
      </c>
      <c r="K131" s="66" t="n">
        <v>35</v>
      </c>
    </row>
    <row r="132" customFormat="false" ht="15.75" hidden="false" customHeight="true" outlineLevel="0" collapsed="false">
      <c r="A132" s="334" t="n">
        <v>129</v>
      </c>
      <c r="B132" s="22" t="s">
        <v>418</v>
      </c>
      <c r="C132" s="23" t="s">
        <v>992</v>
      </c>
      <c r="D132" s="24" t="s">
        <v>376</v>
      </c>
      <c r="E132" s="23" t="s">
        <v>23</v>
      </c>
      <c r="F132" s="26" t="s">
        <v>22</v>
      </c>
      <c r="G132" s="29" t="n">
        <v>46104.2916666667</v>
      </c>
      <c r="H132" s="27" t="n">
        <v>6340</v>
      </c>
      <c r="I132" s="335" t="s">
        <v>998</v>
      </c>
      <c r="J132" s="345" t="s">
        <v>370</v>
      </c>
      <c r="K132" s="60" t="n">
        <v>18</v>
      </c>
    </row>
    <row r="133" customFormat="false" ht="15.75" hidden="false" customHeight="true" outlineLevel="0" collapsed="false">
      <c r="A133" s="337" t="n">
        <v>130</v>
      </c>
      <c r="B133" s="114" t="s">
        <v>1066</v>
      </c>
      <c r="C133" s="115" t="s">
        <v>660</v>
      </c>
      <c r="D133" s="116" t="s">
        <v>366</v>
      </c>
      <c r="E133" s="115" t="s">
        <v>818</v>
      </c>
      <c r="F133" s="338" t="s">
        <v>800</v>
      </c>
      <c r="G133" s="118" t="n">
        <v>46104.4583333333</v>
      </c>
      <c r="H133" s="339" t="n">
        <v>469.9906</v>
      </c>
      <c r="I133" s="340"/>
      <c r="J133" s="344" t="s">
        <v>361</v>
      </c>
      <c r="K133" s="347" t="n">
        <v>20</v>
      </c>
    </row>
    <row r="134" customFormat="false" ht="15.75" hidden="false" customHeight="true" outlineLevel="0" collapsed="false">
      <c r="A134" s="334" t="n">
        <v>131</v>
      </c>
      <c r="B134" s="22" t="s">
        <v>1067</v>
      </c>
      <c r="C134" s="23" t="s">
        <v>1068</v>
      </c>
      <c r="D134" s="24" t="s">
        <v>1069</v>
      </c>
      <c r="E134" s="23" t="s">
        <v>23</v>
      </c>
      <c r="F134" s="346" t="s">
        <v>800</v>
      </c>
      <c r="G134" s="29" t="n">
        <v>46104.4583333333</v>
      </c>
      <c r="H134" s="27" t="n">
        <v>460</v>
      </c>
      <c r="I134" s="335" t="s">
        <v>998</v>
      </c>
      <c r="J134" s="345" t="s">
        <v>370</v>
      </c>
      <c r="K134" s="46" t="n">
        <v>42</v>
      </c>
    </row>
    <row r="135" customFormat="false" ht="15.75" hidden="false" customHeight="true" outlineLevel="0" collapsed="false">
      <c r="A135" s="89" t="n">
        <v>132</v>
      </c>
      <c r="B135" s="11" t="s">
        <v>463</v>
      </c>
      <c r="C135" s="12" t="s">
        <v>1044</v>
      </c>
      <c r="D135" s="13" t="s">
        <v>465</v>
      </c>
      <c r="E135" s="12" t="s">
        <v>99</v>
      </c>
      <c r="F135" s="15" t="s">
        <v>22</v>
      </c>
      <c r="G135" s="18" t="n">
        <v>46105.2291666667</v>
      </c>
      <c r="H135" s="16" t="n">
        <v>0</v>
      </c>
      <c r="I135" s="19"/>
      <c r="J135" s="99" t="s">
        <v>370</v>
      </c>
      <c r="K135" s="47" t="n">
        <v>19</v>
      </c>
    </row>
    <row r="136" customFormat="false" ht="15.75" hidden="false" customHeight="true" outlineLevel="0" collapsed="false">
      <c r="A136" s="334" t="n">
        <v>133</v>
      </c>
      <c r="B136" s="22" t="s">
        <v>1070</v>
      </c>
      <c r="C136" s="23" t="s">
        <v>636</v>
      </c>
      <c r="D136" s="24" t="s">
        <v>385</v>
      </c>
      <c r="E136" s="23" t="s">
        <v>23</v>
      </c>
      <c r="F136" s="346" t="s">
        <v>800</v>
      </c>
      <c r="G136" s="29" t="n">
        <v>46105.25</v>
      </c>
      <c r="H136" s="27" t="n">
        <v>460</v>
      </c>
      <c r="I136" s="335" t="s">
        <v>998</v>
      </c>
      <c r="J136" s="345" t="s">
        <v>370</v>
      </c>
      <c r="K136" s="60" t="n">
        <v>19</v>
      </c>
    </row>
    <row r="137" customFormat="false" ht="15.75" hidden="false" customHeight="true" outlineLevel="0" collapsed="false">
      <c r="A137" s="334" t="n">
        <v>134</v>
      </c>
      <c r="B137" s="22" t="s">
        <v>462</v>
      </c>
      <c r="C137" s="23" t="s">
        <v>666</v>
      </c>
      <c r="D137" s="24" t="s">
        <v>372</v>
      </c>
      <c r="E137" s="23" t="s">
        <v>23</v>
      </c>
      <c r="F137" s="26" t="s">
        <v>22</v>
      </c>
      <c r="G137" s="29" t="n">
        <v>46105.3541666667</v>
      </c>
      <c r="H137" s="27" t="n">
        <v>130</v>
      </c>
      <c r="I137" s="335" t="s">
        <v>998</v>
      </c>
      <c r="J137" s="345" t="s">
        <v>370</v>
      </c>
      <c r="K137" s="60" t="n">
        <v>22</v>
      </c>
    </row>
    <row r="138" customFormat="false" ht="15.75" hidden="false" customHeight="true" outlineLevel="0" collapsed="false">
      <c r="A138" s="334" t="n">
        <v>135</v>
      </c>
      <c r="B138" s="22" t="s">
        <v>241</v>
      </c>
      <c r="C138" s="23" t="s">
        <v>239</v>
      </c>
      <c r="D138" s="24" t="s">
        <v>422</v>
      </c>
      <c r="E138" s="23" t="s">
        <v>23</v>
      </c>
      <c r="F138" s="26" t="s">
        <v>22</v>
      </c>
      <c r="G138" s="29" t="n">
        <v>46106.3125</v>
      </c>
      <c r="H138" s="27" t="n">
        <v>520</v>
      </c>
      <c r="I138" s="335" t="s">
        <v>998</v>
      </c>
      <c r="J138" s="336" t="s">
        <v>361</v>
      </c>
      <c r="K138" s="60" t="n">
        <v>13</v>
      </c>
    </row>
    <row r="139" customFormat="false" ht="15.75" hidden="false" customHeight="true" outlineLevel="0" collapsed="false">
      <c r="A139" s="95" t="n">
        <v>136</v>
      </c>
      <c r="B139" s="49" t="s">
        <v>324</v>
      </c>
      <c r="C139" s="50" t="s">
        <v>325</v>
      </c>
      <c r="D139" s="51" t="s">
        <v>495</v>
      </c>
      <c r="E139" s="54"/>
      <c r="F139" s="53" t="s">
        <v>219</v>
      </c>
      <c r="G139" s="57" t="n">
        <v>46106.3333333333</v>
      </c>
      <c r="H139" s="55" t="n">
        <v>780.003</v>
      </c>
      <c r="I139" s="58"/>
      <c r="J139" s="103" t="s">
        <v>361</v>
      </c>
      <c r="K139" s="73" t="n">
        <v>28</v>
      </c>
    </row>
    <row r="140" customFormat="false" ht="15.75" hidden="false" customHeight="true" outlineLevel="0" collapsed="false">
      <c r="A140" s="95" t="n">
        <v>137</v>
      </c>
      <c r="B140" s="49" t="s">
        <v>497</v>
      </c>
      <c r="C140" s="50" t="s">
        <v>1071</v>
      </c>
      <c r="D140" s="51" t="s">
        <v>499</v>
      </c>
      <c r="E140" s="54"/>
      <c r="F140" s="53" t="s">
        <v>219</v>
      </c>
      <c r="G140" s="57" t="n">
        <v>46106.4270833333</v>
      </c>
      <c r="H140" s="55" t="n">
        <v>460</v>
      </c>
      <c r="I140" s="58"/>
      <c r="J140" s="97" t="s">
        <v>370</v>
      </c>
      <c r="K140" s="74" t="n">
        <v>40</v>
      </c>
    </row>
    <row r="141" customFormat="false" ht="15.75" hidden="false" customHeight="true" outlineLevel="0" collapsed="false">
      <c r="A141" s="334" t="n">
        <v>138</v>
      </c>
      <c r="B141" s="22" t="s">
        <v>238</v>
      </c>
      <c r="C141" s="23" t="s">
        <v>239</v>
      </c>
      <c r="D141" s="24" t="s">
        <v>422</v>
      </c>
      <c r="E141" s="23" t="s">
        <v>23</v>
      </c>
      <c r="F141" s="26" t="s">
        <v>22</v>
      </c>
      <c r="G141" s="29" t="n">
        <v>46106.4791666667</v>
      </c>
      <c r="H141" s="27" t="n">
        <v>590</v>
      </c>
      <c r="I141" s="335" t="s">
        <v>998</v>
      </c>
      <c r="J141" s="336" t="s">
        <v>361</v>
      </c>
      <c r="K141" s="60" t="n">
        <v>13</v>
      </c>
    </row>
    <row r="142" customFormat="false" ht="15.75" hidden="false" customHeight="true" outlineLevel="0" collapsed="false">
      <c r="A142" s="89" t="n">
        <v>139</v>
      </c>
      <c r="B142" s="11" t="s">
        <v>190</v>
      </c>
      <c r="C142" s="12" t="s">
        <v>1072</v>
      </c>
      <c r="D142" s="13" t="s">
        <v>385</v>
      </c>
      <c r="E142" s="12" t="s">
        <v>23</v>
      </c>
      <c r="F142" s="15" t="s">
        <v>22</v>
      </c>
      <c r="G142" s="18" t="n">
        <v>46107.2923611111</v>
      </c>
      <c r="H142" s="16" t="n">
        <v>7392.3055</v>
      </c>
      <c r="I142" s="19"/>
      <c r="J142" s="91" t="s">
        <v>361</v>
      </c>
      <c r="K142" s="47" t="n">
        <v>28</v>
      </c>
    </row>
    <row r="143" customFormat="false" ht="15.75" hidden="false" customHeight="true" outlineLevel="0" collapsed="false">
      <c r="A143" s="95" t="n">
        <v>140</v>
      </c>
      <c r="B143" s="49" t="s">
        <v>327</v>
      </c>
      <c r="C143" s="50" t="s">
        <v>1073</v>
      </c>
      <c r="D143" s="51" t="s">
        <v>329</v>
      </c>
      <c r="E143" s="54"/>
      <c r="F143" s="53" t="s">
        <v>219</v>
      </c>
      <c r="G143" s="57" t="n">
        <v>46107.4166666667</v>
      </c>
      <c r="H143" s="55" t="n">
        <v>700.102</v>
      </c>
      <c r="I143" s="58"/>
      <c r="J143" s="103" t="s">
        <v>361</v>
      </c>
      <c r="K143" s="73" t="n">
        <v>19</v>
      </c>
    </row>
    <row r="144" customFormat="false" ht="15.75" hidden="false" customHeight="true" outlineLevel="0" collapsed="false">
      <c r="A144" s="95" t="n">
        <v>141</v>
      </c>
      <c r="B144" s="49" t="s">
        <v>502</v>
      </c>
      <c r="C144" s="50" t="s">
        <v>1013</v>
      </c>
      <c r="D144" s="51" t="s">
        <v>298</v>
      </c>
      <c r="E144" s="54"/>
      <c r="F144" s="53" t="s">
        <v>219</v>
      </c>
      <c r="G144" s="57" t="n">
        <v>46108.25</v>
      </c>
      <c r="H144" s="55" t="n">
        <v>330</v>
      </c>
      <c r="I144" s="58"/>
      <c r="J144" s="97" t="s">
        <v>370</v>
      </c>
      <c r="K144" s="74" t="n">
        <v>36</v>
      </c>
    </row>
    <row r="145" customFormat="false" ht="15.75" hidden="false" customHeight="true" outlineLevel="0" collapsed="false">
      <c r="A145" s="95" t="n">
        <v>142</v>
      </c>
      <c r="B145" s="49" t="s">
        <v>334</v>
      </c>
      <c r="C145" s="50" t="s">
        <v>1074</v>
      </c>
      <c r="D145" s="51" t="s">
        <v>372</v>
      </c>
      <c r="E145" s="54"/>
      <c r="F145" s="53" t="s">
        <v>219</v>
      </c>
      <c r="G145" s="57" t="n">
        <v>46108.375</v>
      </c>
      <c r="H145" s="55" t="n">
        <v>520.002</v>
      </c>
      <c r="I145" s="58"/>
      <c r="J145" s="103" t="s">
        <v>361</v>
      </c>
      <c r="K145" s="73" t="n">
        <v>19</v>
      </c>
    </row>
    <row r="146" customFormat="false" ht="15.75" hidden="false" customHeight="true" outlineLevel="0" collapsed="false">
      <c r="A146" s="334" t="n">
        <v>143</v>
      </c>
      <c r="B146" s="22" t="s">
        <v>1075</v>
      </c>
      <c r="C146" s="23" t="s">
        <v>1007</v>
      </c>
      <c r="D146" s="24" t="s">
        <v>364</v>
      </c>
      <c r="E146" s="23" t="s">
        <v>99</v>
      </c>
      <c r="F146" s="346" t="s">
        <v>800</v>
      </c>
      <c r="G146" s="29" t="n">
        <v>46108.4166666667</v>
      </c>
      <c r="H146" s="27" t="n">
        <v>460</v>
      </c>
      <c r="I146" s="335" t="s">
        <v>998</v>
      </c>
      <c r="J146" s="345" t="s">
        <v>370</v>
      </c>
      <c r="K146" s="60" t="n">
        <v>11</v>
      </c>
    </row>
    <row r="147" customFormat="false" ht="15.75" hidden="false" customHeight="true" outlineLevel="0" collapsed="false">
      <c r="A147" s="334" t="n">
        <v>144</v>
      </c>
      <c r="B147" s="22" t="s">
        <v>461</v>
      </c>
      <c r="C147" s="23" t="s">
        <v>1076</v>
      </c>
      <c r="D147" s="24" t="s">
        <v>385</v>
      </c>
      <c r="E147" s="23" t="s">
        <v>99</v>
      </c>
      <c r="F147" s="26" t="s">
        <v>22</v>
      </c>
      <c r="G147" s="29" t="n">
        <v>46108.5486111111</v>
      </c>
      <c r="H147" s="27" t="n">
        <v>460</v>
      </c>
      <c r="I147" s="335" t="s">
        <v>998</v>
      </c>
      <c r="J147" s="345" t="s">
        <v>370</v>
      </c>
      <c r="K147" s="60" t="n">
        <v>11</v>
      </c>
    </row>
    <row r="148" customFormat="false" ht="15.75" hidden="false" customHeight="true" outlineLevel="0" collapsed="false">
      <c r="A148" s="107" t="n">
        <v>145</v>
      </c>
      <c r="B148" s="63" t="s">
        <v>487</v>
      </c>
      <c r="C148" s="64" t="s">
        <v>1077</v>
      </c>
      <c r="D148" s="65" t="s">
        <v>489</v>
      </c>
      <c r="E148" s="64" t="s">
        <v>285</v>
      </c>
      <c r="F148" s="67" t="s">
        <v>271</v>
      </c>
      <c r="G148" s="70" t="n">
        <v>46108.6666666667</v>
      </c>
      <c r="H148" s="68" t="n">
        <v>580</v>
      </c>
      <c r="I148" s="71"/>
      <c r="J148" s="111" t="s">
        <v>370</v>
      </c>
      <c r="K148" s="112" t="n">
        <v>11</v>
      </c>
    </row>
    <row r="149" customFormat="false" ht="15.75" hidden="false" customHeight="true" outlineLevel="0" collapsed="false">
      <c r="A149" s="107" t="n">
        <v>146</v>
      </c>
      <c r="B149" s="63" t="s">
        <v>490</v>
      </c>
      <c r="C149" s="64" t="s">
        <v>491</v>
      </c>
      <c r="D149" s="65" t="s">
        <v>492</v>
      </c>
      <c r="E149" s="64" t="s">
        <v>285</v>
      </c>
      <c r="F149" s="67" t="s">
        <v>271</v>
      </c>
      <c r="G149" s="70" t="n">
        <v>46111.7291666667</v>
      </c>
      <c r="H149" s="68" t="n">
        <v>0</v>
      </c>
      <c r="I149" s="71"/>
      <c r="J149" s="111" t="s">
        <v>370</v>
      </c>
      <c r="K149" s="112" t="n">
        <v>8</v>
      </c>
    </row>
    <row r="150" customFormat="false" ht="15.75" hidden="false" customHeight="true" outlineLevel="0" collapsed="false">
      <c r="A150" s="334" t="n">
        <v>147</v>
      </c>
      <c r="B150" s="22" t="s">
        <v>1078</v>
      </c>
      <c r="C150" s="23" t="s">
        <v>1024</v>
      </c>
      <c r="D150" s="24" t="s">
        <v>295</v>
      </c>
      <c r="E150" s="23" t="s">
        <v>23</v>
      </c>
      <c r="F150" s="346" t="s">
        <v>800</v>
      </c>
      <c r="G150" s="29" t="n">
        <v>46112.2916666667</v>
      </c>
      <c r="H150" s="27" t="n">
        <v>460</v>
      </c>
      <c r="I150" s="335" t="s">
        <v>998</v>
      </c>
      <c r="J150" s="345" t="s">
        <v>370</v>
      </c>
      <c r="K150" s="60" t="n">
        <v>11</v>
      </c>
    </row>
    <row r="151" customFormat="false" ht="15.75" hidden="false" customHeight="true" outlineLevel="0" collapsed="false">
      <c r="A151" s="334" t="n">
        <v>148</v>
      </c>
      <c r="B151" s="22" t="s">
        <v>1079</v>
      </c>
      <c r="C151" s="23" t="s">
        <v>1080</v>
      </c>
      <c r="D151" s="24" t="s">
        <v>1081</v>
      </c>
      <c r="E151" s="23" t="s">
        <v>23</v>
      </c>
      <c r="F151" s="346" t="s">
        <v>800</v>
      </c>
      <c r="G151" s="29" t="n">
        <v>46112.375</v>
      </c>
      <c r="H151" s="27" t="n">
        <v>460</v>
      </c>
      <c r="I151" s="335" t="s">
        <v>998</v>
      </c>
      <c r="J151" s="345" t="s">
        <v>370</v>
      </c>
      <c r="K151" s="60" t="n">
        <v>8</v>
      </c>
    </row>
    <row r="152" customFormat="false" ht="15.75" hidden="false" customHeight="true" outlineLevel="0" collapsed="false">
      <c r="A152" s="334" t="n">
        <v>149</v>
      </c>
      <c r="B152" s="22" t="s">
        <v>1082</v>
      </c>
      <c r="C152" s="23" t="s">
        <v>1083</v>
      </c>
      <c r="D152" s="24" t="s">
        <v>494</v>
      </c>
      <c r="E152" s="23" t="s">
        <v>23</v>
      </c>
      <c r="F152" s="346" t="s">
        <v>800</v>
      </c>
      <c r="G152" s="29" t="n">
        <v>46112.4583333333</v>
      </c>
      <c r="H152" s="27" t="n">
        <v>460</v>
      </c>
      <c r="I152" s="335" t="s">
        <v>998</v>
      </c>
      <c r="J152" s="345" t="s">
        <v>370</v>
      </c>
      <c r="K152" s="60" t="n">
        <v>7</v>
      </c>
    </row>
    <row r="153" customFormat="false" ht="15.75" hidden="false" customHeight="true" outlineLevel="0" collapsed="false">
      <c r="A153" s="334" t="n">
        <v>150</v>
      </c>
      <c r="B153" s="22" t="s">
        <v>1084</v>
      </c>
      <c r="C153" s="23" t="s">
        <v>1085</v>
      </c>
      <c r="D153" s="24" t="s">
        <v>1086</v>
      </c>
      <c r="E153" s="23" t="s">
        <v>99</v>
      </c>
      <c r="F153" s="346" t="s">
        <v>800</v>
      </c>
      <c r="G153" s="29" t="n">
        <v>46113.2291666667</v>
      </c>
      <c r="H153" s="27" t="n">
        <v>460</v>
      </c>
      <c r="I153" s="335" t="s">
        <v>998</v>
      </c>
      <c r="J153" s="345" t="s">
        <v>370</v>
      </c>
      <c r="K153" s="60" t="n">
        <v>6</v>
      </c>
    </row>
    <row r="154" customFormat="false" ht="15.75" hidden="false" customHeight="true" outlineLevel="0" collapsed="false">
      <c r="A154" s="334" t="n">
        <v>151</v>
      </c>
      <c r="B154" s="22" t="s">
        <v>1087</v>
      </c>
      <c r="C154" s="23" t="s">
        <v>705</v>
      </c>
      <c r="D154" s="24" t="s">
        <v>1088</v>
      </c>
      <c r="E154" s="23" t="s">
        <v>23</v>
      </c>
      <c r="F154" s="346" t="s">
        <v>800</v>
      </c>
      <c r="G154" s="29" t="n">
        <v>46113.3333333333</v>
      </c>
      <c r="H154" s="27" t="n">
        <v>460</v>
      </c>
      <c r="I154" s="335" t="s">
        <v>998</v>
      </c>
      <c r="J154" s="345" t="s">
        <v>370</v>
      </c>
      <c r="K154" s="60" t="n">
        <v>8</v>
      </c>
    </row>
    <row r="155" customFormat="false" ht="15.75" hidden="false" customHeight="true" outlineLevel="0" collapsed="false">
      <c r="A155" s="334" t="n">
        <v>152</v>
      </c>
      <c r="B155" s="22" t="s">
        <v>1089</v>
      </c>
      <c r="C155" s="23" t="s">
        <v>1019</v>
      </c>
      <c r="D155" s="24" t="s">
        <v>385</v>
      </c>
      <c r="E155" s="23" t="s">
        <v>23</v>
      </c>
      <c r="F155" s="346" t="s">
        <v>800</v>
      </c>
      <c r="G155" s="29" t="n">
        <v>46113.4861111111</v>
      </c>
      <c r="H155" s="27" t="n">
        <v>460</v>
      </c>
      <c r="I155" s="335" t="s">
        <v>998</v>
      </c>
      <c r="J155" s="345" t="s">
        <v>370</v>
      </c>
      <c r="K155" s="60" t="n">
        <v>6</v>
      </c>
    </row>
    <row r="156" customFormat="false" ht="15.75" hidden="false" customHeight="true" outlineLevel="0" collapsed="false">
      <c r="A156" s="334" t="n">
        <v>153</v>
      </c>
      <c r="B156" s="22" t="s">
        <v>1090</v>
      </c>
      <c r="C156" s="23" t="s">
        <v>1091</v>
      </c>
      <c r="D156" s="24" t="s">
        <v>1092</v>
      </c>
      <c r="E156" s="23" t="s">
        <v>23</v>
      </c>
      <c r="F156" s="346" t="s">
        <v>800</v>
      </c>
      <c r="G156" s="29" t="n">
        <v>46113.5</v>
      </c>
      <c r="H156" s="27" t="n">
        <v>0</v>
      </c>
      <c r="I156" s="335" t="s">
        <v>998</v>
      </c>
      <c r="J156" s="336" t="s">
        <v>361</v>
      </c>
      <c r="K156" s="60" t="n">
        <v>14</v>
      </c>
    </row>
    <row r="157" customFormat="false" ht="15.75" hidden="false" customHeight="true" outlineLevel="0" collapsed="false">
      <c r="A157" s="334" t="n">
        <v>154</v>
      </c>
      <c r="B157" s="22" t="s">
        <v>1093</v>
      </c>
      <c r="C157" s="23" t="s">
        <v>1083</v>
      </c>
      <c r="D157" s="24" t="s">
        <v>1094</v>
      </c>
      <c r="E157" s="23" t="s">
        <v>99</v>
      </c>
      <c r="F157" s="346" t="s">
        <v>800</v>
      </c>
      <c r="G157" s="29" t="n">
        <v>46113.5833333333</v>
      </c>
      <c r="H157" s="27" t="n">
        <v>460</v>
      </c>
      <c r="I157" s="335" t="s">
        <v>998</v>
      </c>
      <c r="J157" s="345" t="s">
        <v>370</v>
      </c>
      <c r="K157" s="60" t="n">
        <v>6</v>
      </c>
    </row>
    <row r="158" customFormat="false" ht="15.75" hidden="false" customHeight="true" outlineLevel="0" collapsed="false">
      <c r="A158" s="334" t="n">
        <v>155</v>
      </c>
      <c r="B158" s="22" t="s">
        <v>1095</v>
      </c>
      <c r="C158" s="23" t="s">
        <v>1096</v>
      </c>
      <c r="D158" s="24" t="s">
        <v>1097</v>
      </c>
      <c r="E158" s="23" t="s">
        <v>23</v>
      </c>
      <c r="F158" s="346" t="s">
        <v>800</v>
      </c>
      <c r="G158" s="29" t="n">
        <v>46114.25</v>
      </c>
      <c r="H158" s="27" t="n">
        <v>460</v>
      </c>
      <c r="I158" s="335" t="s">
        <v>998</v>
      </c>
      <c r="J158" s="345" t="s">
        <v>370</v>
      </c>
      <c r="K158" s="60" t="n">
        <v>11</v>
      </c>
    </row>
    <row r="159" customFormat="false" ht="15.75" hidden="false" customHeight="true" outlineLevel="0" collapsed="false">
      <c r="A159" s="334" t="n">
        <v>156</v>
      </c>
      <c r="B159" s="22" t="s">
        <v>1098</v>
      </c>
      <c r="C159" s="23" t="s">
        <v>1099</v>
      </c>
      <c r="D159" s="24" t="s">
        <v>1100</v>
      </c>
      <c r="E159" s="23" t="s">
        <v>23</v>
      </c>
      <c r="F159" s="346" t="s">
        <v>800</v>
      </c>
      <c r="G159" s="29" t="n">
        <v>46114.2916666667</v>
      </c>
      <c r="H159" s="27" t="n">
        <v>460</v>
      </c>
      <c r="I159" s="335" t="s">
        <v>998</v>
      </c>
      <c r="J159" s="345" t="s">
        <v>370</v>
      </c>
      <c r="K159" s="60" t="n">
        <v>11</v>
      </c>
    </row>
    <row r="160" customFormat="false" ht="15.75" hidden="false" customHeight="true" outlineLevel="0" collapsed="false">
      <c r="A160" s="334" t="n">
        <v>157</v>
      </c>
      <c r="B160" s="22" t="s">
        <v>1101</v>
      </c>
      <c r="C160" s="23" t="s">
        <v>1102</v>
      </c>
      <c r="D160" s="24" t="s">
        <v>431</v>
      </c>
      <c r="E160" s="23" t="s">
        <v>23</v>
      </c>
      <c r="F160" s="346" t="s">
        <v>800</v>
      </c>
      <c r="G160" s="29" t="n">
        <v>46114.4166666667</v>
      </c>
      <c r="H160" s="27" t="n">
        <v>0</v>
      </c>
      <c r="I160" s="335" t="s">
        <v>998</v>
      </c>
      <c r="J160" s="345" t="s">
        <v>370</v>
      </c>
      <c r="K160" s="60" t="n">
        <v>5</v>
      </c>
    </row>
    <row r="161" customFormat="false" ht="15.75" hidden="false" customHeight="true" outlineLevel="0" collapsed="false">
      <c r="A161" s="89" t="n">
        <v>158</v>
      </c>
      <c r="B161" s="11" t="s">
        <v>456</v>
      </c>
      <c r="C161" s="12" t="s">
        <v>666</v>
      </c>
      <c r="D161" s="13" t="s">
        <v>372</v>
      </c>
      <c r="E161" s="12" t="s">
        <v>23</v>
      </c>
      <c r="F161" s="15" t="s">
        <v>22</v>
      </c>
      <c r="G161" s="18" t="n">
        <v>46119.2916666667</v>
      </c>
      <c r="H161" s="16" t="n">
        <v>460</v>
      </c>
      <c r="I161" s="19"/>
      <c r="J161" s="99" t="s">
        <v>370</v>
      </c>
      <c r="K161" s="47" t="n">
        <v>7</v>
      </c>
    </row>
    <row r="162" customFormat="false" ht="15.75" hidden="false" customHeight="true" outlineLevel="0" collapsed="false">
      <c r="A162" s="337" t="n">
        <v>159</v>
      </c>
      <c r="B162" s="114" t="s">
        <v>1103</v>
      </c>
      <c r="C162" s="115" t="s">
        <v>1072</v>
      </c>
      <c r="D162" s="116" t="s">
        <v>385</v>
      </c>
      <c r="E162" s="115" t="s">
        <v>99</v>
      </c>
      <c r="F162" s="338" t="s">
        <v>800</v>
      </c>
      <c r="G162" s="118" t="n">
        <v>46119.5</v>
      </c>
      <c r="H162" s="339" t="n">
        <v>0</v>
      </c>
      <c r="I162" s="340"/>
      <c r="J162" s="344" t="s">
        <v>361</v>
      </c>
      <c r="K162" s="347" t="n">
        <v>28</v>
      </c>
    </row>
    <row r="163" customFormat="false" ht="15.75" hidden="false" customHeight="true" outlineLevel="0" collapsed="false">
      <c r="A163" s="95" t="n">
        <v>160</v>
      </c>
      <c r="B163" s="49" t="s">
        <v>336</v>
      </c>
      <c r="C163" s="50" t="s">
        <v>985</v>
      </c>
      <c r="D163" s="51" t="s">
        <v>41</v>
      </c>
      <c r="E163" s="54"/>
      <c r="F163" s="53" t="s">
        <v>219</v>
      </c>
      <c r="G163" s="57" t="n">
        <v>46119.5</v>
      </c>
      <c r="H163" s="55" t="n">
        <v>460</v>
      </c>
      <c r="I163" s="58"/>
      <c r="J163" s="103" t="s">
        <v>361</v>
      </c>
      <c r="K163" s="73" t="n">
        <v>5</v>
      </c>
    </row>
    <row r="164" customFormat="false" ht="15.75" hidden="false" customHeight="true" outlineLevel="0" collapsed="false">
      <c r="A164" s="95" t="n">
        <v>161</v>
      </c>
      <c r="B164" s="49" t="s">
        <v>313</v>
      </c>
      <c r="C164" s="50" t="s">
        <v>1052</v>
      </c>
      <c r="D164" s="51" t="s">
        <v>493</v>
      </c>
      <c r="E164" s="54"/>
      <c r="F164" s="53" t="s">
        <v>219</v>
      </c>
      <c r="G164" s="57" t="n">
        <v>46120.2916666667</v>
      </c>
      <c r="H164" s="55" t="n">
        <v>3190</v>
      </c>
      <c r="I164" s="58"/>
      <c r="J164" s="103" t="s">
        <v>361</v>
      </c>
      <c r="K164" s="73" t="n">
        <v>11</v>
      </c>
    </row>
    <row r="165" customFormat="false" ht="15.75" hidden="false" customHeight="true" outlineLevel="0" collapsed="false">
      <c r="A165" s="89" t="n">
        <v>162</v>
      </c>
      <c r="B165" s="11" t="s">
        <v>226</v>
      </c>
      <c r="C165" s="12" t="s">
        <v>227</v>
      </c>
      <c r="D165" s="13" t="s">
        <v>228</v>
      </c>
      <c r="E165" s="12" t="s">
        <v>23</v>
      </c>
      <c r="F165" s="15" t="s">
        <v>22</v>
      </c>
      <c r="G165" s="18" t="n">
        <v>46121.2916666667</v>
      </c>
      <c r="H165" s="16" t="n">
        <v>1660</v>
      </c>
      <c r="I165" s="19"/>
      <c r="J165" s="91" t="s">
        <v>361</v>
      </c>
      <c r="K165" s="47" t="n">
        <v>-1</v>
      </c>
    </row>
    <row r="166" customFormat="false" ht="15.75" hidden="false" customHeight="true" outlineLevel="0" collapsed="false">
      <c r="A166" s="95" t="n">
        <v>163</v>
      </c>
      <c r="B166" s="49" t="s">
        <v>505</v>
      </c>
      <c r="C166" s="50" t="s">
        <v>491</v>
      </c>
      <c r="D166" s="51" t="s">
        <v>492</v>
      </c>
      <c r="E166" s="54"/>
      <c r="F166" s="53" t="s">
        <v>219</v>
      </c>
      <c r="G166" s="57" t="n">
        <v>46122.25</v>
      </c>
      <c r="H166" s="55" t="n">
        <v>460</v>
      </c>
      <c r="I166" s="58"/>
      <c r="J166" s="97" t="s">
        <v>370</v>
      </c>
      <c r="K166" s="73" t="n">
        <v>14</v>
      </c>
    </row>
    <row r="167" customFormat="false" ht="15.75" hidden="false" customHeight="true" outlineLevel="0" collapsed="false">
      <c r="A167" s="95" t="n">
        <v>164</v>
      </c>
      <c r="B167" s="49" t="s">
        <v>508</v>
      </c>
      <c r="C167" s="50" t="s">
        <v>997</v>
      </c>
      <c r="D167" s="51" t="s">
        <v>377</v>
      </c>
      <c r="E167" s="50" t="s">
        <v>23</v>
      </c>
      <c r="F167" s="53" t="s">
        <v>219</v>
      </c>
      <c r="G167" s="57" t="n">
        <v>46122.2916666667</v>
      </c>
      <c r="H167" s="55" t="n">
        <v>460</v>
      </c>
      <c r="I167" s="58"/>
      <c r="J167" s="97" t="s">
        <v>370</v>
      </c>
      <c r="K167" s="73" t="n">
        <v>5</v>
      </c>
    </row>
    <row r="168" customFormat="false" ht="15.75" hidden="false" customHeight="true" outlineLevel="0" collapsed="false">
      <c r="A168" s="89" t="n">
        <v>165</v>
      </c>
      <c r="B168" s="11" t="s">
        <v>212</v>
      </c>
      <c r="C168" s="12" t="s">
        <v>1104</v>
      </c>
      <c r="D168" s="13" t="s">
        <v>82</v>
      </c>
      <c r="E168" s="12" t="s">
        <v>47</v>
      </c>
      <c r="F168" s="15" t="s">
        <v>22</v>
      </c>
      <c r="G168" s="18" t="n">
        <v>46122.4583333333</v>
      </c>
      <c r="H168" s="16" t="n">
        <v>520.002</v>
      </c>
      <c r="I168" s="19"/>
      <c r="J168" s="91" t="s">
        <v>361</v>
      </c>
      <c r="K168" s="14" t="n">
        <v>33</v>
      </c>
    </row>
    <row r="169" customFormat="false" ht="15.75" hidden="false" customHeight="true" outlineLevel="0" collapsed="false">
      <c r="A169" s="95" t="n">
        <v>166</v>
      </c>
      <c r="B169" s="49" t="s">
        <v>337</v>
      </c>
      <c r="C169" s="50" t="s">
        <v>763</v>
      </c>
      <c r="D169" s="51" t="s">
        <v>385</v>
      </c>
      <c r="E169" s="54"/>
      <c r="F169" s="53" t="s">
        <v>219</v>
      </c>
      <c r="G169" s="57" t="n">
        <v>46122.5</v>
      </c>
      <c r="H169" s="55" t="n">
        <v>0</v>
      </c>
      <c r="I169" s="58"/>
      <c r="J169" s="103" t="s">
        <v>361</v>
      </c>
      <c r="K169" s="73" t="n">
        <v>-2</v>
      </c>
    </row>
    <row r="170" customFormat="false" ht="15.75" hidden="false" customHeight="true" outlineLevel="0" collapsed="false">
      <c r="A170" s="95" t="n">
        <v>167</v>
      </c>
      <c r="B170" s="49" t="s">
        <v>321</v>
      </c>
      <c r="C170" s="50" t="s">
        <v>1083</v>
      </c>
      <c r="D170" s="51" t="s">
        <v>494</v>
      </c>
      <c r="E170" s="54"/>
      <c r="F170" s="53" t="s">
        <v>219</v>
      </c>
      <c r="G170" s="57" t="n">
        <v>46125.25</v>
      </c>
      <c r="H170" s="55" t="n">
        <v>1325.0025</v>
      </c>
      <c r="I170" s="58"/>
      <c r="J170" s="103" t="s">
        <v>361</v>
      </c>
      <c r="K170" s="73" t="n">
        <v>8</v>
      </c>
    </row>
    <row r="171" customFormat="false" ht="15.75" hidden="false" customHeight="true" outlineLevel="0" collapsed="false">
      <c r="A171" s="89" t="n">
        <v>168</v>
      </c>
      <c r="B171" s="11" t="s">
        <v>229</v>
      </c>
      <c r="C171" s="12" t="s">
        <v>981</v>
      </c>
      <c r="D171" s="13" t="s">
        <v>360</v>
      </c>
      <c r="E171" s="12" t="s">
        <v>23</v>
      </c>
      <c r="F171" s="15" t="s">
        <v>22</v>
      </c>
      <c r="G171" s="18" t="n">
        <v>46126.25</v>
      </c>
      <c r="H171" s="16" t="n">
        <v>1040.004</v>
      </c>
      <c r="I171" s="19"/>
      <c r="J171" s="91" t="s">
        <v>361</v>
      </c>
      <c r="K171" s="47" t="n">
        <v>14</v>
      </c>
    </row>
    <row r="172" customFormat="false" ht="15.75" hidden="false" customHeight="true" outlineLevel="0" collapsed="false">
      <c r="A172" s="95" t="n">
        <v>169</v>
      </c>
      <c r="B172" s="49" t="s">
        <v>301</v>
      </c>
      <c r="C172" s="50" t="s">
        <v>726</v>
      </c>
      <c r="D172" s="51" t="s">
        <v>486</v>
      </c>
      <c r="E172" s="54"/>
      <c r="F172" s="53" t="s">
        <v>219</v>
      </c>
      <c r="G172" s="57" t="n">
        <v>46126.25</v>
      </c>
      <c r="H172" s="55" t="n">
        <v>2865.004</v>
      </c>
      <c r="I172" s="58"/>
      <c r="J172" s="103" t="s">
        <v>361</v>
      </c>
      <c r="K172" s="74" t="n">
        <v>35</v>
      </c>
    </row>
    <row r="173" customFormat="false" ht="15.75" hidden="false" customHeight="true" outlineLevel="0" collapsed="false">
      <c r="A173" s="89" t="n">
        <v>170</v>
      </c>
      <c r="B173" s="11" t="s">
        <v>19</v>
      </c>
      <c r="C173" s="12" t="s">
        <v>988</v>
      </c>
      <c r="D173" s="13" t="s">
        <v>360</v>
      </c>
      <c r="E173" s="12" t="s">
        <v>23</v>
      </c>
      <c r="F173" s="15" t="s">
        <v>22</v>
      </c>
      <c r="G173" s="18" t="n">
        <v>46127.25</v>
      </c>
      <c r="H173" s="16" t="n">
        <v>29772.4184</v>
      </c>
      <c r="I173" s="19"/>
      <c r="J173" s="91" t="s">
        <v>361</v>
      </c>
      <c r="K173" s="14" t="n">
        <v>36</v>
      </c>
    </row>
    <row r="174" customFormat="false" ht="15.75" hidden="false" customHeight="true" outlineLevel="0" collapsed="false">
      <c r="A174" s="95" t="n">
        <v>171</v>
      </c>
      <c r="B174" s="49" t="s">
        <v>299</v>
      </c>
      <c r="C174" s="50" t="s">
        <v>300</v>
      </c>
      <c r="D174" s="51" t="s">
        <v>376</v>
      </c>
      <c r="E174" s="54"/>
      <c r="F174" s="53" t="s">
        <v>219</v>
      </c>
      <c r="G174" s="57" t="n">
        <v>46135.25</v>
      </c>
      <c r="H174" s="55" t="n">
        <v>3283.2348</v>
      </c>
      <c r="I174" s="58"/>
      <c r="J174" s="103" t="s">
        <v>361</v>
      </c>
      <c r="K174" s="74" t="n">
        <v>42</v>
      </c>
    </row>
    <row r="175" customFormat="false" ht="15.75" hidden="false" customHeight="true" outlineLevel="0" collapsed="false">
      <c r="A175" s="95" t="n">
        <v>172</v>
      </c>
      <c r="B175" s="49" t="s">
        <v>307</v>
      </c>
      <c r="C175" s="50" t="s">
        <v>1105</v>
      </c>
      <c r="D175" s="51" t="s">
        <v>385</v>
      </c>
      <c r="E175" s="54"/>
      <c r="F175" s="53" t="s">
        <v>219</v>
      </c>
      <c r="G175" s="57" t="n">
        <v>46139.25</v>
      </c>
      <c r="H175" s="55" t="n">
        <v>1670.762</v>
      </c>
      <c r="I175" s="58"/>
      <c r="J175" s="103" t="s">
        <v>361</v>
      </c>
      <c r="K175" s="74" t="n">
        <v>41</v>
      </c>
    </row>
    <row r="176" customFormat="false" ht="15.75" hidden="false" customHeight="true" outlineLevel="0" collapsed="false">
      <c r="A176" s="95" t="n">
        <v>173</v>
      </c>
      <c r="B176" s="49" t="s">
        <v>509</v>
      </c>
      <c r="C176" s="50" t="s">
        <v>992</v>
      </c>
      <c r="D176" s="51" t="s">
        <v>376</v>
      </c>
      <c r="E176" s="54"/>
      <c r="F176" s="53" t="s">
        <v>219</v>
      </c>
      <c r="G176" s="57" t="n">
        <v>46139.4166666667</v>
      </c>
      <c r="H176" s="55" t="n">
        <v>460</v>
      </c>
      <c r="I176" s="58"/>
      <c r="J176" s="97" t="s">
        <v>370</v>
      </c>
      <c r="K176" s="73" t="n">
        <v>11</v>
      </c>
    </row>
    <row r="177" customFormat="false" ht="15.75" hidden="false" customHeight="true" outlineLevel="0" collapsed="false">
      <c r="A177" s="95" t="n">
        <v>174</v>
      </c>
      <c r="B177" s="49" t="s">
        <v>316</v>
      </c>
      <c r="C177" s="50" t="s">
        <v>317</v>
      </c>
      <c r="D177" s="51" t="s">
        <v>478</v>
      </c>
      <c r="E177" s="54"/>
      <c r="F177" s="53" t="s">
        <v>219</v>
      </c>
      <c r="G177" s="57" t="n">
        <v>46140.25</v>
      </c>
      <c r="H177" s="55" t="n">
        <v>1753.9506</v>
      </c>
      <c r="I177" s="58"/>
      <c r="J177" s="103" t="s">
        <v>361</v>
      </c>
      <c r="K177" s="73" t="n">
        <v>25</v>
      </c>
    </row>
    <row r="178" customFormat="false" ht="15.75" hidden="false" customHeight="true" outlineLevel="0" collapsed="false">
      <c r="A178" s="95" t="n">
        <v>175</v>
      </c>
      <c r="B178" s="49" t="s">
        <v>311</v>
      </c>
      <c r="C178" s="50" t="s">
        <v>1048</v>
      </c>
      <c r="D178" s="51" t="s">
        <v>411</v>
      </c>
      <c r="E178" s="54"/>
      <c r="F178" s="53" t="s">
        <v>219</v>
      </c>
      <c r="G178" s="57" t="n">
        <v>46141.25</v>
      </c>
      <c r="H178" s="55" t="n">
        <v>5673.04</v>
      </c>
      <c r="I178" s="58"/>
      <c r="J178" s="103" t="s">
        <v>361</v>
      </c>
      <c r="K178" s="73" t="n">
        <v>14</v>
      </c>
    </row>
    <row r="179" customFormat="false" ht="15.75" hidden="false" customHeight="true" outlineLevel="0" collapsed="false">
      <c r="A179" s="95" t="n">
        <v>176</v>
      </c>
      <c r="B179" s="49" t="s">
        <v>333</v>
      </c>
      <c r="C179" s="50" t="s">
        <v>736</v>
      </c>
      <c r="D179" s="51" t="s">
        <v>373</v>
      </c>
      <c r="E179" s="54"/>
      <c r="F179" s="53" t="s">
        <v>219</v>
      </c>
      <c r="G179" s="57" t="n">
        <v>46142.25</v>
      </c>
      <c r="H179" s="55" t="n">
        <v>460</v>
      </c>
      <c r="I179" s="58"/>
      <c r="J179" s="103" t="s">
        <v>361</v>
      </c>
      <c r="K179" s="73" t="n">
        <v>14</v>
      </c>
    </row>
    <row r="180" customFormat="false" ht="15.75" hidden="false" customHeight="true" outlineLevel="0" collapsed="false">
      <c r="A180" s="95" t="n">
        <v>177</v>
      </c>
      <c r="B180" s="49" t="s">
        <v>319</v>
      </c>
      <c r="C180" s="50" t="s">
        <v>1076</v>
      </c>
      <c r="D180" s="51" t="s">
        <v>385</v>
      </c>
      <c r="E180" s="54"/>
      <c r="F180" s="53" t="s">
        <v>219</v>
      </c>
      <c r="G180" s="57" t="n">
        <v>46143.25</v>
      </c>
      <c r="H180" s="55" t="n">
        <v>1733.413</v>
      </c>
      <c r="I180" s="58"/>
      <c r="J180" s="103" t="s">
        <v>361</v>
      </c>
      <c r="K180" s="73" t="n">
        <v>12</v>
      </c>
    </row>
    <row r="181" customFormat="false" ht="15.75" hidden="false" customHeight="true" outlineLevel="0" collapsed="false">
      <c r="A181" s="95" t="n">
        <v>178</v>
      </c>
      <c r="B181" s="49" t="s">
        <v>330</v>
      </c>
      <c r="C181" s="50" t="s">
        <v>1106</v>
      </c>
      <c r="D181" s="51" t="s">
        <v>496</v>
      </c>
      <c r="E181" s="54"/>
      <c r="F181" s="53" t="s">
        <v>219</v>
      </c>
      <c r="G181" s="57" t="n">
        <v>46146.25</v>
      </c>
      <c r="H181" s="55" t="n">
        <v>650.0025</v>
      </c>
      <c r="I181" s="58"/>
      <c r="J181" s="103" t="s">
        <v>361</v>
      </c>
      <c r="K181" s="73" t="n">
        <v>11</v>
      </c>
    </row>
    <row r="182" customFormat="false" ht="15.75" hidden="false" customHeight="true" outlineLevel="0" collapsed="false">
      <c r="A182" s="95" t="n">
        <v>179</v>
      </c>
      <c r="B182" s="49" t="s">
        <v>292</v>
      </c>
      <c r="C182" s="50" t="s">
        <v>1031</v>
      </c>
      <c r="D182" s="51" t="s">
        <v>413</v>
      </c>
      <c r="E182" s="54"/>
      <c r="F182" s="53" t="s">
        <v>219</v>
      </c>
      <c r="G182" s="57" t="n">
        <v>46147.25</v>
      </c>
      <c r="H182" s="55" t="n">
        <v>9587.818</v>
      </c>
      <c r="I182" s="58"/>
      <c r="J182" s="103" t="s">
        <v>361</v>
      </c>
      <c r="K182" s="73" t="n">
        <v>11</v>
      </c>
    </row>
    <row r="183" customFormat="false" ht="15.75" hidden="false" customHeight="true" outlineLevel="0" collapsed="false">
      <c r="A183" s="95" t="n">
        <v>180</v>
      </c>
      <c r="B183" s="49" t="s">
        <v>220</v>
      </c>
      <c r="C183" s="50" t="s">
        <v>683</v>
      </c>
      <c r="D183" s="51" t="s">
        <v>222</v>
      </c>
      <c r="E183" s="50" t="s">
        <v>23</v>
      </c>
      <c r="F183" s="53" t="s">
        <v>219</v>
      </c>
      <c r="G183" s="57" t="n">
        <v>46290.25</v>
      </c>
      <c r="H183" s="55" t="n">
        <v>7796</v>
      </c>
      <c r="I183" s="58"/>
      <c r="J183" s="103" t="s">
        <v>361</v>
      </c>
      <c r="K183" s="52" t="n">
        <v>154</v>
      </c>
    </row>
    <row r="185" customFormat="false" ht="19.5" hidden="false" customHeight="true" outlineLevel="0" collapsed="false">
      <c r="A185" s="75" t="str">
        <f aca="false">SUBTOTAL(103,B4:B183)&amp;" of 180 shown"</f>
        <v>180 of 180 shown</v>
      </c>
      <c r="B185" s="75"/>
      <c r="C185" s="75"/>
      <c r="D185" s="75"/>
      <c r="E185" s="75"/>
      <c r="F185" s="75"/>
      <c r="G185" s="75"/>
      <c r="H185" s="76" t="n">
        <f aca="false">SUBTOTAL(9,H4:H183)</f>
        <v>431691.23</v>
      </c>
      <c r="I185" s="77"/>
      <c r="J185" s="77"/>
      <c r="K185" s="77"/>
    </row>
  </sheetData>
  <autoFilter ref="A3:K183"/>
  <mergeCells count="3">
    <mergeCell ref="A1:K1"/>
    <mergeCell ref="A2:K2"/>
    <mergeCell ref="A185:G185"/>
  </mergeCells>
  <conditionalFormatting sqref="F4:F183">
    <cfRule type="expression" priority="2" aboveAverage="0" equalAverage="0" bottom="0" percent="0" rank="0" text="" dxfId="259">
      <formula>$I4="⚠ OVERLAP"</formula>
    </cfRule>
  </conditionalFormatting>
  <dataValidations count="3">
    <dataValidation allowBlank="true" error="Select from list" errorStyle="stop" errorTitle="Invalid entry" operator="between" prompt="Bailey Arthur, Darren Brailey, Gordon Jenkins, Haider Al-Heyoury…" promptTitle="Select value" showDropDown="false" showErrorMessage="true" showInputMessage="true" sqref="E4:E183" type="list">
      <formula1>"Bailey Arthur,Darren Brailey,Gordon Jenkins,Haider Al-Heyoury,Hugo,Jimmy Kak,John Minai,Nick Hollingsworth,Nu Unasa,Ryan Robinson,Tim Hu"</formula1>
      <formula2>0</formula2>
    </dataValidation>
    <dataValidation allowBlank="true" error="Select from list" errorStyle="stop" errorTitle="Invalid entry" operator="between" prompt="REVISIT, SCHEDULED, READY, INPROGRESS…" promptTitle="Select value" showDropDown="false" showErrorMessage="true" showInputMessage="true" sqref="F4:F183" type="list">
      <formula1>"REVISIT,SCHEDULED,READY,INPROGRESS,PERFORMED"</formula1>
      <formula2>0</formula2>
    </dataValidation>
    <dataValidation allowBlank="true" error="Select from list" errorStyle="stop" errorTitle="Invalid entry" operator="between" prompt="Repair, Callout" promptTitle="Select value" showDropDown="false" showErrorMessage="true" showInputMessage="true" sqref="J4:J183" type="list">
      <formula1>"Repair,Callout"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4155"/>
    <pageSetUpPr fitToPage="false"/>
  </sheetPr>
  <dimension ref="A1:O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9" min="9" style="0" width="15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15"/>
  </cols>
  <sheetData>
    <row r="1" customFormat="false" ht="27.75" hidden="false" customHeight="true" outlineLevel="0" collapsed="false">
      <c r="A1" s="1" t="s">
        <v>1107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3.5" hidden="false" customHeight="true" outlineLevel="0" collapsed="false">
      <c r="A2" s="78" t="s">
        <v>1108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</row>
    <row r="3" customFormat="false" ht="6.75" hidden="false" customHeight="true" outlineLevel="0" collapsed="false">
      <c r="A3" s="296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</row>
    <row r="4" customFormat="false" ht="19.5" hidden="false" customHeight="true" outlineLevel="0" collapsed="false">
      <c r="A4" s="9" t="s">
        <v>12</v>
      </c>
      <c r="B4" s="9" t="s">
        <v>1109</v>
      </c>
      <c r="C4" s="9" t="s">
        <v>1110</v>
      </c>
      <c r="D4" s="9" t="s">
        <v>1111</v>
      </c>
      <c r="E4" s="9" t="s">
        <v>1112</v>
      </c>
      <c r="F4" s="9" t="s">
        <v>794</v>
      </c>
      <c r="G4" s="9" t="s">
        <v>814</v>
      </c>
      <c r="H4" s="9" t="s">
        <v>815</v>
      </c>
      <c r="I4" s="9" t="s">
        <v>1113</v>
      </c>
      <c r="J4" s="9" t="s">
        <v>1114</v>
      </c>
      <c r="K4" s="9" t="s">
        <v>1115</v>
      </c>
      <c r="L4" s="9" t="s">
        <v>219</v>
      </c>
      <c r="M4" s="9" t="s">
        <v>1116</v>
      </c>
      <c r="N4" s="9" t="s">
        <v>1117</v>
      </c>
      <c r="O4" s="9" t="s">
        <v>1118</v>
      </c>
    </row>
    <row r="5" customFormat="false" ht="18" hidden="false" customHeight="true" outlineLevel="0" collapsed="false">
      <c r="A5" s="187" t="s">
        <v>23</v>
      </c>
      <c r="B5" s="348" t="n">
        <v>59</v>
      </c>
      <c r="C5" s="348" t="n">
        <v>18</v>
      </c>
      <c r="D5" s="349" t="n">
        <v>0.305084745762712</v>
      </c>
      <c r="E5" s="350" t="n">
        <v>185409.4637</v>
      </c>
      <c r="F5" s="350" t="n">
        <v>3142.53328305085</v>
      </c>
      <c r="G5" s="348" t="n">
        <v>38</v>
      </c>
      <c r="H5" s="348" t="n">
        <v>21</v>
      </c>
      <c r="I5" s="350" t="n">
        <v>170659.4637</v>
      </c>
      <c r="J5" s="350" t="n">
        <v>14750</v>
      </c>
      <c r="K5" s="351" t="n">
        <v>33</v>
      </c>
      <c r="L5" s="348" t="n">
        <v>5</v>
      </c>
      <c r="M5" s="352" t="n">
        <v>7</v>
      </c>
      <c r="N5" s="348" t="n">
        <v>24</v>
      </c>
      <c r="O5" s="349" t="n">
        <v>0.368458944544065</v>
      </c>
    </row>
    <row r="6" customFormat="false" ht="18" hidden="false" customHeight="true" outlineLevel="0" collapsed="false">
      <c r="A6" s="194" t="s">
        <v>47</v>
      </c>
      <c r="B6" s="353" t="n">
        <v>43</v>
      </c>
      <c r="C6" s="353" t="n">
        <v>3</v>
      </c>
      <c r="D6" s="354" t="n">
        <v>0.0697674418604651</v>
      </c>
      <c r="E6" s="355" t="n">
        <v>95413.8742</v>
      </c>
      <c r="F6" s="355" t="n">
        <v>2218.92730697674</v>
      </c>
      <c r="G6" s="353" t="n">
        <v>22</v>
      </c>
      <c r="H6" s="353" t="n">
        <v>21</v>
      </c>
      <c r="I6" s="355" t="n">
        <v>70691.8742</v>
      </c>
      <c r="J6" s="355" t="n">
        <v>24722</v>
      </c>
      <c r="K6" s="356" t="n">
        <v>35</v>
      </c>
      <c r="L6" s="353" t="n">
        <v>3</v>
      </c>
      <c r="M6" s="357" t="n">
        <v>4</v>
      </c>
      <c r="N6" s="353" t="n">
        <v>32</v>
      </c>
      <c r="O6" s="354" t="n">
        <v>0.189613273675588</v>
      </c>
    </row>
    <row r="7" customFormat="false" ht="18" hidden="false" customHeight="true" outlineLevel="0" collapsed="false">
      <c r="A7" s="187" t="s">
        <v>38</v>
      </c>
      <c r="B7" s="348" t="n">
        <v>20</v>
      </c>
      <c r="C7" s="348" t="n">
        <v>3</v>
      </c>
      <c r="D7" s="349" t="n">
        <v>0.15</v>
      </c>
      <c r="E7" s="350" t="n">
        <v>37655.8736</v>
      </c>
      <c r="F7" s="350" t="n">
        <v>1882.79368</v>
      </c>
      <c r="G7" s="348" t="n">
        <v>11</v>
      </c>
      <c r="H7" s="348" t="n">
        <v>9</v>
      </c>
      <c r="I7" s="350" t="n">
        <v>35235.8736</v>
      </c>
      <c r="J7" s="350" t="n">
        <v>2420</v>
      </c>
      <c r="K7" s="351" t="n">
        <v>15</v>
      </c>
      <c r="L7" s="348" t="n">
        <v>1</v>
      </c>
      <c r="M7" s="352" t="n">
        <v>1</v>
      </c>
      <c r="N7" s="348" t="n">
        <v>14</v>
      </c>
      <c r="O7" s="349" t="n">
        <v>0.0748324447180886</v>
      </c>
    </row>
    <row r="8" customFormat="false" ht="18" hidden="false" customHeight="true" outlineLevel="0" collapsed="false">
      <c r="A8" s="194" t="s">
        <v>34</v>
      </c>
      <c r="B8" s="353" t="n">
        <v>1</v>
      </c>
      <c r="C8" s="353" t="n">
        <v>0</v>
      </c>
      <c r="D8" s="354" t="n">
        <v>0</v>
      </c>
      <c r="E8" s="355" t="n">
        <v>12263.736</v>
      </c>
      <c r="F8" s="355" t="n">
        <v>12263.736</v>
      </c>
      <c r="G8" s="353" t="n">
        <v>1</v>
      </c>
      <c r="H8" s="353" t="n">
        <v>0</v>
      </c>
      <c r="I8" s="355" t="n">
        <v>12263.736</v>
      </c>
      <c r="J8" s="355" t="n">
        <v>0</v>
      </c>
      <c r="K8" s="353" t="n">
        <v>1</v>
      </c>
      <c r="L8" s="353" t="n">
        <v>0</v>
      </c>
      <c r="M8" s="357" t="n">
        <v>1</v>
      </c>
      <c r="N8" s="353" t="n">
        <v>0</v>
      </c>
      <c r="O8" s="354" t="n">
        <v>0.0243713731357233</v>
      </c>
    </row>
    <row r="9" customFormat="false" ht="18" hidden="false" customHeight="true" outlineLevel="0" collapsed="false">
      <c r="A9" s="187" t="s">
        <v>99</v>
      </c>
      <c r="B9" s="348" t="n">
        <v>9</v>
      </c>
      <c r="C9" s="348" t="n">
        <v>5</v>
      </c>
      <c r="D9" s="349" t="n">
        <v>0.555555555555556</v>
      </c>
      <c r="E9" s="350" t="n">
        <v>7205.442</v>
      </c>
      <c r="F9" s="350" t="n">
        <v>800.604666666667</v>
      </c>
      <c r="G9" s="348" t="n">
        <v>3</v>
      </c>
      <c r="H9" s="348" t="n">
        <v>6</v>
      </c>
      <c r="I9" s="350" t="n">
        <v>4905.442</v>
      </c>
      <c r="J9" s="350" t="n">
        <v>2300</v>
      </c>
      <c r="K9" s="348" t="n">
        <v>3</v>
      </c>
      <c r="L9" s="348" t="n">
        <v>1</v>
      </c>
      <c r="M9" s="348" t="n">
        <v>0</v>
      </c>
      <c r="N9" s="348" t="n">
        <v>1</v>
      </c>
      <c r="O9" s="349" t="n">
        <v>0.0143191695899041</v>
      </c>
    </row>
    <row r="10" customFormat="false" ht="18" hidden="false" customHeight="true" outlineLevel="0" collapsed="false">
      <c r="A10" s="194" t="s">
        <v>95</v>
      </c>
      <c r="B10" s="353" t="n">
        <v>2</v>
      </c>
      <c r="C10" s="353" t="n">
        <v>0</v>
      </c>
      <c r="D10" s="354" t="n">
        <v>0</v>
      </c>
      <c r="E10" s="355" t="n">
        <v>2988.0025</v>
      </c>
      <c r="F10" s="355" t="n">
        <v>1494.00125</v>
      </c>
      <c r="G10" s="353" t="n">
        <v>1</v>
      </c>
      <c r="H10" s="353" t="n">
        <v>1</v>
      </c>
      <c r="I10" s="355" t="n">
        <v>2528.0025</v>
      </c>
      <c r="J10" s="355" t="n">
        <v>460</v>
      </c>
      <c r="K10" s="353" t="n">
        <v>1</v>
      </c>
      <c r="L10" s="353" t="n">
        <v>1</v>
      </c>
      <c r="M10" s="353" t="n">
        <v>0</v>
      </c>
      <c r="N10" s="353" t="n">
        <v>1</v>
      </c>
      <c r="O10" s="354" t="n">
        <v>0.00593797223439694</v>
      </c>
    </row>
    <row r="11" customFormat="false" ht="18" hidden="false" customHeight="true" outlineLevel="0" collapsed="false">
      <c r="A11" s="187" t="s">
        <v>189</v>
      </c>
      <c r="B11" s="348" t="n">
        <v>1</v>
      </c>
      <c r="C11" s="348" t="n">
        <v>0</v>
      </c>
      <c r="D11" s="349" t="n">
        <v>0</v>
      </c>
      <c r="E11" s="350" t="n">
        <v>2388.008</v>
      </c>
      <c r="F11" s="350" t="n">
        <v>2388.008</v>
      </c>
      <c r="G11" s="348" t="n">
        <v>1</v>
      </c>
      <c r="H11" s="348" t="n">
        <v>0</v>
      </c>
      <c r="I11" s="350" t="n">
        <v>2388.008</v>
      </c>
      <c r="J11" s="350" t="n">
        <v>0</v>
      </c>
      <c r="K11" s="348" t="n">
        <v>1</v>
      </c>
      <c r="L11" s="348" t="n">
        <v>0</v>
      </c>
      <c r="M11" s="348" t="n">
        <v>0</v>
      </c>
      <c r="N11" s="348" t="n">
        <v>1</v>
      </c>
      <c r="O11" s="349" t="n">
        <v>0.00474562025952715</v>
      </c>
    </row>
    <row r="12" customFormat="false" ht="18" hidden="false" customHeight="true" outlineLevel="0" collapsed="false">
      <c r="A12" s="194" t="s">
        <v>285</v>
      </c>
      <c r="B12" s="353" t="n">
        <v>5</v>
      </c>
      <c r="C12" s="353" t="n">
        <v>0</v>
      </c>
      <c r="D12" s="354" t="n">
        <v>0</v>
      </c>
      <c r="E12" s="355" t="n">
        <v>2300.63</v>
      </c>
      <c r="F12" s="355" t="n">
        <v>460.126</v>
      </c>
      <c r="G12" s="353" t="n">
        <v>1</v>
      </c>
      <c r="H12" s="353" t="n">
        <v>4</v>
      </c>
      <c r="I12" s="355" t="n">
        <v>680.63</v>
      </c>
      <c r="J12" s="355" t="n">
        <v>1620</v>
      </c>
      <c r="K12" s="353" t="n">
        <v>1</v>
      </c>
      <c r="L12" s="353" t="n">
        <v>0</v>
      </c>
      <c r="M12" s="353" t="n">
        <v>0</v>
      </c>
      <c r="N12" s="353" t="n">
        <v>0</v>
      </c>
      <c r="O12" s="354" t="n">
        <v>0.00457197644969194</v>
      </c>
    </row>
    <row r="13" customFormat="false" ht="18" hidden="false" customHeight="true" outlineLevel="0" collapsed="false">
      <c r="A13" s="194" t="s">
        <v>383</v>
      </c>
      <c r="B13" s="353" t="n">
        <v>1</v>
      </c>
      <c r="C13" s="353" t="n">
        <v>0</v>
      </c>
      <c r="D13" s="354" t="n">
        <v>0</v>
      </c>
      <c r="E13" s="355" t="n">
        <v>1600</v>
      </c>
      <c r="F13" s="355" t="n">
        <v>1600</v>
      </c>
      <c r="G13" s="353" t="n">
        <v>0</v>
      </c>
      <c r="H13" s="353" t="n">
        <v>1</v>
      </c>
      <c r="I13" s="355" t="n">
        <v>0</v>
      </c>
      <c r="J13" s="355" t="n">
        <v>1600</v>
      </c>
      <c r="K13" s="353" t="n">
        <v>1</v>
      </c>
      <c r="L13" s="353" t="n">
        <v>0</v>
      </c>
      <c r="M13" s="353" t="n">
        <v>0</v>
      </c>
      <c r="N13" s="353" t="n">
        <v>1</v>
      </c>
      <c r="O13" s="354" t="n">
        <v>0.00317963441296823</v>
      </c>
    </row>
    <row r="14" customFormat="false" ht="18" hidden="false" customHeight="true" outlineLevel="0" collapsed="false">
      <c r="A14" s="187" t="s">
        <v>818</v>
      </c>
      <c r="B14" s="348" t="n">
        <v>1</v>
      </c>
      <c r="C14" s="348" t="n">
        <v>1</v>
      </c>
      <c r="D14" s="349" t="n">
        <v>1</v>
      </c>
      <c r="E14" s="350" t="n">
        <v>469.9906</v>
      </c>
      <c r="F14" s="350" t="n">
        <v>469.9906</v>
      </c>
      <c r="G14" s="348" t="n">
        <v>1</v>
      </c>
      <c r="H14" s="348" t="n">
        <v>0</v>
      </c>
      <c r="I14" s="350" t="n">
        <v>469.9906</v>
      </c>
      <c r="J14" s="350" t="n">
        <v>0</v>
      </c>
      <c r="K14" s="348" t="n">
        <v>0</v>
      </c>
      <c r="L14" s="348" t="n">
        <v>0</v>
      </c>
      <c r="M14" s="348" t="n">
        <v>0</v>
      </c>
      <c r="N14" s="348" t="n">
        <v>0</v>
      </c>
      <c r="O14" s="349" t="n">
        <v>0.000933998928457241</v>
      </c>
    </row>
    <row r="15" customFormat="false" ht="18" hidden="false" customHeight="true" outlineLevel="0" collapsed="false">
      <c r="A15" s="194" t="s">
        <v>819</v>
      </c>
      <c r="B15" s="353" t="n">
        <v>1</v>
      </c>
      <c r="C15" s="353" t="n">
        <v>1</v>
      </c>
      <c r="D15" s="354" t="n">
        <v>1</v>
      </c>
      <c r="E15" s="355" t="n">
        <v>130</v>
      </c>
      <c r="F15" s="355" t="n">
        <v>130</v>
      </c>
      <c r="G15" s="353" t="n">
        <v>0</v>
      </c>
      <c r="H15" s="353" t="n">
        <v>1</v>
      </c>
      <c r="I15" s="355" t="n">
        <v>0</v>
      </c>
      <c r="J15" s="355" t="n">
        <v>130</v>
      </c>
      <c r="K15" s="353" t="n">
        <v>0</v>
      </c>
      <c r="L15" s="353" t="n">
        <v>0</v>
      </c>
      <c r="M15" s="353" t="n">
        <v>0</v>
      </c>
      <c r="N15" s="353" t="n">
        <v>0</v>
      </c>
      <c r="O15" s="354" t="n">
        <v>0.000258345296053669</v>
      </c>
    </row>
    <row r="16" customFormat="false" ht="18" hidden="false" customHeight="true" outlineLevel="0" collapsed="false">
      <c r="A16" s="358" t="s">
        <v>1119</v>
      </c>
      <c r="B16" s="359" t="n">
        <f aca="false">SUBTOTAL(9,B5:B16)</f>
        <v>143</v>
      </c>
      <c r="C16" s="359" t="n">
        <f aca="false">SUBTOTAL(9,C5:C16)</f>
        <v>31</v>
      </c>
      <c r="D16" s="360" t="n">
        <f aca="false">IFERROR(AVERAGE(D5:D16),0)</f>
        <v>0</v>
      </c>
      <c r="E16" s="361" t="n">
        <f aca="false">SUBTOTAL(9,E5:E16)</f>
        <v>347825.0206</v>
      </c>
      <c r="F16" s="361" t="n">
        <f aca="false">IFERROR(AVERAGE(F5:F16),0)</f>
        <v>0</v>
      </c>
      <c r="G16" s="362"/>
      <c r="H16" s="362"/>
      <c r="I16" s="362"/>
      <c r="J16" s="362"/>
      <c r="K16" s="362"/>
      <c r="L16" s="362"/>
      <c r="M16" s="362"/>
      <c r="N16" s="362"/>
      <c r="O16" s="362"/>
    </row>
    <row r="17" customFormat="false" ht="19.5" hidden="false" customHeight="true" outlineLevel="0" collapsed="false">
      <c r="A17" s="363"/>
      <c r="B17" s="364"/>
      <c r="C17" s="364"/>
      <c r="D17" s="365"/>
      <c r="E17" s="366"/>
      <c r="F17" s="366"/>
      <c r="G17" s="307"/>
      <c r="H17" s="307"/>
      <c r="I17" s="307"/>
      <c r="J17" s="307"/>
      <c r="K17" s="307"/>
      <c r="L17" s="307"/>
      <c r="M17" s="307"/>
      <c r="N17" s="307"/>
      <c r="O17" s="307"/>
    </row>
    <row r="18" customFormat="false" ht="6.75" hidden="false" customHeight="true" outlineLevel="0" collapsed="false">
      <c r="A18" s="296"/>
      <c r="B18" s="296"/>
      <c r="C18" s="296"/>
      <c r="D18" s="296"/>
      <c r="E18" s="296"/>
      <c r="F18" s="296"/>
      <c r="G18" s="296"/>
      <c r="H18" s="296"/>
      <c r="I18" s="296"/>
      <c r="J18" s="296"/>
      <c r="K18" s="296"/>
      <c r="L18" s="296"/>
      <c r="M18" s="296"/>
      <c r="N18" s="296"/>
      <c r="O18" s="296"/>
    </row>
    <row r="19" customFormat="false" ht="21.75" hidden="false" customHeight="true" outlineLevel="0" collapsed="false">
      <c r="A19" s="202" t="s">
        <v>1120</v>
      </c>
      <c r="B19" s="202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</row>
    <row r="20" customFormat="false" ht="15" hidden="false" customHeight="true" outlineLevel="0" collapsed="false">
      <c r="A20" s="367" t="s">
        <v>1121</v>
      </c>
      <c r="B20" s="368" t="n">
        <v>185409.4637</v>
      </c>
    </row>
    <row r="21" customFormat="false" ht="15" hidden="false" customHeight="true" outlineLevel="0" collapsed="false">
      <c r="A21" s="367" t="s">
        <v>1122</v>
      </c>
      <c r="B21" s="368" t="n">
        <v>95413.8742</v>
      </c>
    </row>
    <row r="22" customFormat="false" ht="15" hidden="false" customHeight="true" outlineLevel="0" collapsed="false">
      <c r="A22" s="367" t="s">
        <v>1123</v>
      </c>
      <c r="B22" s="368" t="n">
        <v>37655.8736</v>
      </c>
    </row>
    <row r="23" customFormat="false" ht="15" hidden="false" customHeight="true" outlineLevel="0" collapsed="false">
      <c r="A23" s="367" t="s">
        <v>1124</v>
      </c>
      <c r="B23" s="368" t="n">
        <v>12263.736</v>
      </c>
    </row>
    <row r="24" customFormat="false" ht="15" hidden="false" customHeight="true" outlineLevel="0" collapsed="false">
      <c r="A24" s="367" t="s">
        <v>1125</v>
      </c>
      <c r="B24" s="368" t="n">
        <v>7205.442</v>
      </c>
    </row>
    <row r="25" customFormat="false" ht="15" hidden="false" customHeight="true" outlineLevel="0" collapsed="false">
      <c r="A25" s="367" t="s">
        <v>1126</v>
      </c>
      <c r="B25" s="368" t="n">
        <v>2988.0025</v>
      </c>
    </row>
    <row r="26" customFormat="false" ht="15" hidden="false" customHeight="true" outlineLevel="0" collapsed="false">
      <c r="A26" s="367" t="s">
        <v>1127</v>
      </c>
      <c r="B26" s="368" t="n">
        <v>2388.008</v>
      </c>
    </row>
    <row r="27" customFormat="false" ht="15" hidden="false" customHeight="true" outlineLevel="0" collapsed="false">
      <c r="A27" s="367" t="s">
        <v>285</v>
      </c>
      <c r="B27" s="368" t="n">
        <v>2300.63</v>
      </c>
    </row>
    <row r="28" customFormat="false" ht="15" hidden="false" customHeight="true" outlineLevel="0" collapsed="false">
      <c r="A28" s="367" t="s">
        <v>1128</v>
      </c>
      <c r="B28" s="368" t="n">
        <v>2217</v>
      </c>
    </row>
    <row r="29" customFormat="false" ht="15" hidden="false" customHeight="true" outlineLevel="0" collapsed="false">
      <c r="A29" s="367" t="s">
        <v>1129</v>
      </c>
      <c r="B29" s="368" t="n">
        <v>1600</v>
      </c>
    </row>
    <row r="30" customFormat="false" ht="15" hidden="false" customHeight="true" outlineLevel="0" collapsed="false">
      <c r="A30" s="367" t="s">
        <v>1130</v>
      </c>
      <c r="B30" s="368" t="n">
        <v>469.9906</v>
      </c>
    </row>
    <row r="31" customFormat="false" ht="15" hidden="false" customHeight="true" outlineLevel="0" collapsed="false">
      <c r="A31" s="367" t="s">
        <v>1131</v>
      </c>
      <c r="B31" s="368" t="n">
        <v>130</v>
      </c>
    </row>
  </sheetData>
  <mergeCells count="5">
    <mergeCell ref="A1:O1"/>
    <mergeCell ref="A2:O2"/>
    <mergeCell ref="A3:O3"/>
    <mergeCell ref="A18:O18"/>
    <mergeCell ref="A19:O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4155"/>
    <pageSetUpPr fitToPage="false"/>
  </sheetPr>
  <dimension ref="A1:J1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9" min="9" style="0" width="13"/>
    <col collapsed="false" customWidth="true" hidden="false" outlineLevel="0" max="10" min="10" style="0" width="8"/>
  </cols>
  <sheetData>
    <row r="1" customFormat="false" ht="27.75" hidden="false" customHeight="true" outlineLevel="0" collapsed="false">
      <c r="A1" s="1" t="s">
        <v>1132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78" t="s">
        <v>1133</v>
      </c>
      <c r="B2" s="78"/>
      <c r="C2" s="78"/>
      <c r="D2" s="78"/>
      <c r="E2" s="78"/>
      <c r="F2" s="78"/>
      <c r="G2" s="78"/>
      <c r="H2" s="78"/>
      <c r="I2" s="78"/>
      <c r="J2" s="78"/>
    </row>
    <row r="3" customFormat="false" ht="6.75" hidden="false" customHeight="true" outlineLevel="0" collapsed="false">
      <c r="A3" s="296"/>
      <c r="B3" s="296"/>
      <c r="C3" s="296"/>
      <c r="D3" s="296"/>
      <c r="E3" s="296"/>
      <c r="F3" s="296"/>
      <c r="G3" s="296"/>
      <c r="H3" s="296"/>
      <c r="I3" s="296"/>
      <c r="J3" s="296"/>
    </row>
    <row r="4" customFormat="false" ht="19.5" hidden="false" customHeight="true" outlineLevel="0" collapsed="false">
      <c r="A4" s="9" t="s">
        <v>1134</v>
      </c>
      <c r="B4" s="9" t="s">
        <v>813</v>
      </c>
      <c r="C4" s="9" t="s">
        <v>1112</v>
      </c>
      <c r="D4" s="9" t="s">
        <v>794</v>
      </c>
      <c r="E4" s="9" t="s">
        <v>814</v>
      </c>
      <c r="F4" s="9" t="s">
        <v>815</v>
      </c>
      <c r="G4" s="9" t="s">
        <v>1113</v>
      </c>
      <c r="H4" s="9" t="s">
        <v>1114</v>
      </c>
      <c r="I4" s="9" t="s">
        <v>1135</v>
      </c>
      <c r="J4" s="9" t="s">
        <v>1136</v>
      </c>
    </row>
    <row r="5" customFormat="false" ht="15.75" hidden="false" customHeight="true" outlineLevel="0" collapsed="false">
      <c r="A5" s="187" t="s">
        <v>1137</v>
      </c>
      <c r="B5" s="165" t="n">
        <v>6</v>
      </c>
      <c r="C5" s="369" t="n">
        <v>42368.9154</v>
      </c>
      <c r="D5" s="369" t="n">
        <v>7061.4859</v>
      </c>
      <c r="E5" s="165" t="n">
        <v>3</v>
      </c>
      <c r="F5" s="165" t="n">
        <v>3</v>
      </c>
      <c r="G5" s="369" t="n">
        <v>40868.9154</v>
      </c>
      <c r="H5" s="369" t="n">
        <v>1500</v>
      </c>
      <c r="I5" s="167" t="n">
        <v>0.0841985384037372</v>
      </c>
      <c r="J5" s="165" t="n">
        <v>1</v>
      </c>
    </row>
    <row r="6" customFormat="false" ht="15.75" hidden="false" customHeight="true" outlineLevel="0" collapsed="false">
      <c r="A6" s="194" t="s">
        <v>1138</v>
      </c>
      <c r="B6" s="170" t="n">
        <v>25</v>
      </c>
      <c r="C6" s="370" t="n">
        <v>34014.4777</v>
      </c>
      <c r="D6" s="370" t="n">
        <v>1360.579108</v>
      </c>
      <c r="E6" s="170" t="n">
        <v>12</v>
      </c>
      <c r="F6" s="170" t="n">
        <v>13</v>
      </c>
      <c r="G6" s="370" t="n">
        <v>30214.4777</v>
      </c>
      <c r="H6" s="370" t="n">
        <v>3800</v>
      </c>
      <c r="I6" s="172" t="n">
        <v>0.0675960023962878</v>
      </c>
      <c r="J6" s="170" t="n">
        <v>2</v>
      </c>
    </row>
    <row r="7" customFormat="false" ht="15.75" hidden="false" customHeight="true" outlineLevel="0" collapsed="false">
      <c r="A7" s="187" t="s">
        <v>1139</v>
      </c>
      <c r="B7" s="165" t="n">
        <v>2</v>
      </c>
      <c r="C7" s="369" t="n">
        <v>20674.1535</v>
      </c>
      <c r="D7" s="369" t="n">
        <v>10337.07675</v>
      </c>
      <c r="E7" s="165" t="n">
        <v>2</v>
      </c>
      <c r="F7" s="165" t="n">
        <v>0</v>
      </c>
      <c r="G7" s="369" t="n">
        <v>20674.1535</v>
      </c>
      <c r="H7" s="369" t="n">
        <v>0</v>
      </c>
      <c r="I7" s="167" t="n">
        <v>0.0410851562047422</v>
      </c>
      <c r="J7" s="165" t="n">
        <v>3</v>
      </c>
    </row>
    <row r="8" customFormat="false" ht="15.75" hidden="false" customHeight="true" outlineLevel="0" collapsed="false">
      <c r="A8" s="194" t="s">
        <v>1140</v>
      </c>
      <c r="B8" s="170" t="n">
        <v>3</v>
      </c>
      <c r="C8" s="370" t="n">
        <v>19739.818</v>
      </c>
      <c r="D8" s="370" t="n">
        <v>6579.93933333333</v>
      </c>
      <c r="E8" s="170" t="n">
        <v>2</v>
      </c>
      <c r="F8" s="170" t="n">
        <v>1</v>
      </c>
      <c r="G8" s="370" t="n">
        <v>19279.818</v>
      </c>
      <c r="H8" s="370" t="n">
        <v>460</v>
      </c>
      <c r="I8" s="172" t="n">
        <v>0.039228377886581</v>
      </c>
      <c r="J8" s="170" t="n">
        <v>4</v>
      </c>
    </row>
    <row r="9" customFormat="false" ht="15.75" hidden="false" customHeight="true" outlineLevel="0" collapsed="false">
      <c r="A9" s="187" t="s">
        <v>731</v>
      </c>
      <c r="B9" s="165" t="n">
        <v>9</v>
      </c>
      <c r="C9" s="369" t="n">
        <v>17737.8846</v>
      </c>
      <c r="D9" s="369" t="n">
        <v>1970.87606666667</v>
      </c>
      <c r="E9" s="165" t="n">
        <v>4</v>
      </c>
      <c r="F9" s="165" t="n">
        <v>5</v>
      </c>
      <c r="G9" s="369" t="n">
        <v>12377.8846</v>
      </c>
      <c r="H9" s="369" t="n">
        <v>5360</v>
      </c>
      <c r="I9" s="167" t="n">
        <v>0.035249992679637</v>
      </c>
      <c r="J9" s="165" t="n">
        <v>5</v>
      </c>
    </row>
    <row r="10" customFormat="false" ht="15.75" hidden="false" customHeight="true" outlineLevel="0" collapsed="false">
      <c r="A10" s="194" t="s">
        <v>1141</v>
      </c>
      <c r="B10" s="170" t="n">
        <v>1</v>
      </c>
      <c r="C10" s="370" t="n">
        <v>15682</v>
      </c>
      <c r="D10" s="370" t="n">
        <v>15682</v>
      </c>
      <c r="E10" s="170" t="n">
        <v>0</v>
      </c>
      <c r="F10" s="170" t="n">
        <v>1</v>
      </c>
      <c r="G10" s="370" t="n">
        <v>0</v>
      </c>
      <c r="H10" s="370" t="n">
        <v>15682</v>
      </c>
      <c r="I10" s="172" t="n">
        <v>0.0311643917901049</v>
      </c>
      <c r="J10" s="170" t="n">
        <v>6</v>
      </c>
    </row>
    <row r="11" customFormat="false" ht="15.75" hidden="false" customHeight="true" outlineLevel="0" collapsed="false">
      <c r="A11" s="187" t="s">
        <v>1142</v>
      </c>
      <c r="B11" s="165" t="n">
        <v>3</v>
      </c>
      <c r="C11" s="369" t="n">
        <v>14588.281</v>
      </c>
      <c r="D11" s="369" t="n">
        <v>4862.76033333333</v>
      </c>
      <c r="E11" s="165" t="n">
        <v>2</v>
      </c>
      <c r="F11" s="165" t="n">
        <v>1</v>
      </c>
      <c r="G11" s="369" t="n">
        <v>14128.281</v>
      </c>
      <c r="H11" s="369" t="n">
        <v>460</v>
      </c>
      <c r="I11" s="167" t="n">
        <v>0.0289908751835316</v>
      </c>
      <c r="J11" s="165" t="n">
        <v>7</v>
      </c>
    </row>
    <row r="12" customFormat="false" ht="15.75" hidden="false" customHeight="true" outlineLevel="0" collapsed="false">
      <c r="A12" s="194" t="s">
        <v>27</v>
      </c>
      <c r="B12" s="170" t="n">
        <v>1</v>
      </c>
      <c r="C12" s="370" t="n">
        <v>14387.3845</v>
      </c>
      <c r="D12" s="370" t="n">
        <v>14387.3845</v>
      </c>
      <c r="E12" s="170" t="n">
        <v>1</v>
      </c>
      <c r="F12" s="170" t="n">
        <v>0</v>
      </c>
      <c r="G12" s="370" t="n">
        <v>14387.3845</v>
      </c>
      <c r="H12" s="370" t="n">
        <v>0</v>
      </c>
      <c r="I12" s="172" t="n">
        <v>0.0285916392930036</v>
      </c>
      <c r="J12" s="170" t="n">
        <v>8</v>
      </c>
    </row>
    <row r="13" customFormat="false" ht="15.75" hidden="false" customHeight="true" outlineLevel="0" collapsed="false">
      <c r="A13" s="187" t="s">
        <v>1143</v>
      </c>
      <c r="B13" s="165" t="n">
        <v>1</v>
      </c>
      <c r="C13" s="369" t="n">
        <v>13702.25</v>
      </c>
      <c r="D13" s="369" t="n">
        <v>13702.25</v>
      </c>
      <c r="E13" s="165" t="n">
        <v>1</v>
      </c>
      <c r="F13" s="165" t="n">
        <v>0</v>
      </c>
      <c r="G13" s="369" t="n">
        <v>13702.25</v>
      </c>
      <c r="H13" s="369" t="n">
        <v>0</v>
      </c>
      <c r="I13" s="167" t="n">
        <v>0.0272300910219337</v>
      </c>
      <c r="J13" s="165" t="n">
        <v>9</v>
      </c>
    </row>
    <row r="14" customFormat="false" ht="15.75" hidden="false" customHeight="true" outlineLevel="0" collapsed="false">
      <c r="A14" s="194" t="s">
        <v>1144</v>
      </c>
      <c r="B14" s="170" t="n">
        <v>1</v>
      </c>
      <c r="C14" s="370" t="n">
        <v>13457.86</v>
      </c>
      <c r="D14" s="370" t="n">
        <v>13457.86</v>
      </c>
      <c r="E14" s="170" t="n">
        <v>1</v>
      </c>
      <c r="F14" s="170" t="n">
        <v>0</v>
      </c>
      <c r="G14" s="370" t="n">
        <v>13457.86</v>
      </c>
      <c r="H14" s="370" t="n">
        <v>0</v>
      </c>
      <c r="I14" s="172" t="n">
        <v>0.0267444217380679</v>
      </c>
      <c r="J14" s="170" t="n">
        <v>10</v>
      </c>
    </row>
    <row r="15" customFormat="false" ht="15.75" hidden="false" customHeight="true" outlineLevel="0" collapsed="false">
      <c r="A15" s="187" t="s">
        <v>33</v>
      </c>
      <c r="B15" s="165" t="n">
        <v>1</v>
      </c>
      <c r="C15" s="369" t="n">
        <v>12263.736</v>
      </c>
      <c r="D15" s="369" t="n">
        <v>12263.736</v>
      </c>
      <c r="E15" s="165" t="n">
        <v>1</v>
      </c>
      <c r="F15" s="165" t="n">
        <v>0</v>
      </c>
      <c r="G15" s="369" t="n">
        <v>12263.736</v>
      </c>
      <c r="H15" s="369" t="n">
        <v>0</v>
      </c>
      <c r="I15" s="167" t="n">
        <v>0.0243713731357233</v>
      </c>
      <c r="J15" s="165" t="n">
        <v>11</v>
      </c>
    </row>
    <row r="16" customFormat="false" ht="15.75" hidden="false" customHeight="true" outlineLevel="0" collapsed="false">
      <c r="A16" s="194" t="s">
        <v>1145</v>
      </c>
      <c r="B16" s="170" t="n">
        <v>5</v>
      </c>
      <c r="C16" s="370" t="n">
        <v>12175.008</v>
      </c>
      <c r="D16" s="370" t="n">
        <v>2435.0016</v>
      </c>
      <c r="E16" s="170" t="n">
        <v>1</v>
      </c>
      <c r="F16" s="170" t="n">
        <v>4</v>
      </c>
      <c r="G16" s="370" t="n">
        <v>2895.008</v>
      </c>
      <c r="H16" s="370" t="n">
        <v>9280</v>
      </c>
      <c r="I16" s="172" t="n">
        <v>0.0241950465093522</v>
      </c>
      <c r="J16" s="170" t="n">
        <v>12</v>
      </c>
    </row>
    <row r="17" customFormat="false" ht="15.75" hidden="false" customHeight="true" outlineLevel="0" collapsed="false">
      <c r="A17" s="187" t="s">
        <v>1146</v>
      </c>
      <c r="B17" s="165" t="n">
        <v>8</v>
      </c>
      <c r="C17" s="369" t="n">
        <v>11855.9263</v>
      </c>
      <c r="D17" s="369" t="n">
        <v>1481.9907875</v>
      </c>
      <c r="E17" s="165" t="n">
        <v>4</v>
      </c>
      <c r="F17" s="165" t="n">
        <v>4</v>
      </c>
      <c r="G17" s="369" t="n">
        <v>10345.9263</v>
      </c>
      <c r="H17" s="369" t="n">
        <v>1510</v>
      </c>
      <c r="I17" s="167" t="n">
        <v>0.0235609445381844</v>
      </c>
      <c r="J17" s="165" t="n">
        <v>13</v>
      </c>
    </row>
    <row r="18" customFormat="false" ht="15.75" hidden="false" customHeight="true" outlineLevel="0" collapsed="false">
      <c r="A18" s="194" t="s">
        <v>1147</v>
      </c>
      <c r="B18" s="170" t="n">
        <v>1</v>
      </c>
      <c r="C18" s="370" t="n">
        <v>11120.0209</v>
      </c>
      <c r="D18" s="370" t="n">
        <v>11120.0209</v>
      </c>
      <c r="E18" s="170" t="n">
        <v>1</v>
      </c>
      <c r="F18" s="170" t="n">
        <v>0</v>
      </c>
      <c r="G18" s="370" t="n">
        <v>11120.0209</v>
      </c>
      <c r="H18" s="370" t="n">
        <v>0</v>
      </c>
      <c r="I18" s="172" t="n">
        <v>0.0220985007041037</v>
      </c>
      <c r="J18" s="170" t="n">
        <v>14</v>
      </c>
    </row>
    <row r="19" customFormat="false" ht="15.75" hidden="false" customHeight="true" outlineLevel="0" collapsed="false">
      <c r="A19" s="187" t="s">
        <v>41</v>
      </c>
      <c r="B19" s="165" t="n">
        <v>2</v>
      </c>
      <c r="C19" s="369" t="n">
        <v>10944</v>
      </c>
      <c r="D19" s="369" t="n">
        <v>5472</v>
      </c>
      <c r="E19" s="165" t="n">
        <v>2</v>
      </c>
      <c r="F19" s="165" t="n">
        <v>0</v>
      </c>
      <c r="G19" s="369" t="n">
        <v>10944</v>
      </c>
      <c r="H19" s="369" t="n">
        <v>0</v>
      </c>
      <c r="I19" s="167" t="n">
        <v>0.0217486993847027</v>
      </c>
      <c r="J19" s="165" t="n">
        <v>15</v>
      </c>
    </row>
    <row r="20" customFormat="false" ht="15.75" hidden="false" customHeight="true" outlineLevel="0" collapsed="false">
      <c r="A20" s="194" t="s">
        <v>94</v>
      </c>
      <c r="B20" s="170" t="n">
        <v>2</v>
      </c>
      <c r="C20" s="370" t="n">
        <v>10504.3445</v>
      </c>
      <c r="D20" s="370" t="n">
        <v>5252.17225</v>
      </c>
      <c r="E20" s="170" t="n">
        <v>2</v>
      </c>
      <c r="F20" s="170" t="n">
        <v>0</v>
      </c>
      <c r="G20" s="370" t="n">
        <v>10504.3445</v>
      </c>
      <c r="H20" s="370" t="n">
        <v>0</v>
      </c>
      <c r="I20" s="172" t="n">
        <v>0.020874984536171</v>
      </c>
      <c r="J20" s="170" t="n">
        <v>16</v>
      </c>
    </row>
    <row r="21" customFormat="false" ht="15.75" hidden="false" customHeight="true" outlineLevel="0" collapsed="false">
      <c r="A21" s="187" t="s">
        <v>1148</v>
      </c>
      <c r="B21" s="165" t="n">
        <v>5</v>
      </c>
      <c r="C21" s="369" t="n">
        <v>9880.002</v>
      </c>
      <c r="D21" s="369" t="n">
        <v>1976.0004</v>
      </c>
      <c r="E21" s="165" t="n">
        <v>2</v>
      </c>
      <c r="F21" s="165" t="n">
        <v>3</v>
      </c>
      <c r="G21" s="369" t="n">
        <v>3520.002</v>
      </c>
      <c r="H21" s="369" t="n">
        <v>6360</v>
      </c>
      <c r="I21" s="167" t="n">
        <v>0.0196342464746218</v>
      </c>
      <c r="J21" s="165" t="n">
        <v>17</v>
      </c>
    </row>
    <row r="22" customFormat="false" ht="15.75" hidden="false" customHeight="true" outlineLevel="0" collapsed="false">
      <c r="A22" s="194" t="s">
        <v>222</v>
      </c>
      <c r="B22" s="170" t="n">
        <v>1</v>
      </c>
      <c r="C22" s="370" t="n">
        <v>7796</v>
      </c>
      <c r="D22" s="370" t="n">
        <v>7796</v>
      </c>
      <c r="E22" s="170" t="n">
        <v>1</v>
      </c>
      <c r="F22" s="170" t="n">
        <v>0</v>
      </c>
      <c r="G22" s="370" t="n">
        <v>7796</v>
      </c>
      <c r="H22" s="370" t="n">
        <v>0</v>
      </c>
      <c r="I22" s="172" t="n">
        <v>0.0154927686771877</v>
      </c>
      <c r="J22" s="170" t="n">
        <v>18</v>
      </c>
    </row>
    <row r="23" customFormat="false" ht="15.75" hidden="false" customHeight="true" outlineLevel="0" collapsed="false">
      <c r="A23" s="187" t="s">
        <v>149</v>
      </c>
      <c r="B23" s="165" t="n">
        <v>3</v>
      </c>
      <c r="C23" s="369" t="n">
        <v>7668.005</v>
      </c>
      <c r="D23" s="369" t="n">
        <v>2556.00166666667</v>
      </c>
      <c r="E23" s="165" t="n">
        <v>3</v>
      </c>
      <c r="F23" s="165" t="n">
        <v>0</v>
      </c>
      <c r="G23" s="369" t="n">
        <v>7668.005</v>
      </c>
      <c r="H23" s="369" t="n">
        <v>0</v>
      </c>
      <c r="I23" s="167" t="n">
        <v>0.0152384078605078</v>
      </c>
      <c r="J23" s="165" t="n">
        <v>19</v>
      </c>
    </row>
    <row r="24" customFormat="false" ht="15.75" hidden="false" customHeight="true" outlineLevel="0" collapsed="false">
      <c r="A24" s="194" t="s">
        <v>1149</v>
      </c>
      <c r="B24" s="170" t="n">
        <v>1</v>
      </c>
      <c r="C24" s="370" t="n">
        <v>7507.5684</v>
      </c>
      <c r="D24" s="370" t="n">
        <v>7507.5684</v>
      </c>
      <c r="E24" s="170" t="n">
        <v>1</v>
      </c>
      <c r="F24" s="170" t="n">
        <v>0</v>
      </c>
      <c r="G24" s="370" t="n">
        <v>7507.5684</v>
      </c>
      <c r="H24" s="370" t="n">
        <v>0</v>
      </c>
      <c r="I24" s="172" t="n">
        <v>0.0149195767764705</v>
      </c>
      <c r="J24" s="170" t="n">
        <v>20</v>
      </c>
    </row>
    <row r="25" customFormat="false" ht="15.75" hidden="false" customHeight="true" outlineLevel="0" collapsed="false">
      <c r="A25" s="187" t="s">
        <v>1150</v>
      </c>
      <c r="B25" s="165" t="n">
        <v>2</v>
      </c>
      <c r="C25" s="369" t="n">
        <v>7295.8271</v>
      </c>
      <c r="D25" s="369" t="n">
        <v>3647.91355</v>
      </c>
      <c r="E25" s="165" t="n">
        <v>2</v>
      </c>
      <c r="F25" s="165" t="n">
        <v>0</v>
      </c>
      <c r="G25" s="369" t="n">
        <v>7295.8271</v>
      </c>
      <c r="H25" s="369" t="n">
        <v>0</v>
      </c>
      <c r="I25" s="167" t="n">
        <v>0.0144987893238914</v>
      </c>
      <c r="J25" s="165" t="n">
        <v>21</v>
      </c>
    </row>
    <row r="26" customFormat="false" ht="15.75" hidden="false" customHeight="true" outlineLevel="0" collapsed="false">
      <c r="A26" s="194" t="s">
        <v>1151</v>
      </c>
      <c r="B26" s="170" t="n">
        <v>1</v>
      </c>
      <c r="C26" s="370" t="n">
        <v>7105.15</v>
      </c>
      <c r="D26" s="370" t="n">
        <v>7105.15</v>
      </c>
      <c r="E26" s="170" t="n">
        <v>1</v>
      </c>
      <c r="F26" s="170" t="n">
        <v>0</v>
      </c>
      <c r="G26" s="370" t="n">
        <v>7105.15</v>
      </c>
      <c r="H26" s="370" t="n">
        <v>0</v>
      </c>
      <c r="I26" s="172" t="n">
        <v>0.0141198621558133</v>
      </c>
      <c r="J26" s="170" t="n">
        <v>22</v>
      </c>
    </row>
    <row r="27" customFormat="false" ht="15.75" hidden="false" customHeight="true" outlineLevel="0" collapsed="false">
      <c r="A27" s="187" t="s">
        <v>62</v>
      </c>
      <c r="B27" s="165" t="n">
        <v>1</v>
      </c>
      <c r="C27" s="369" t="n">
        <v>7065.508</v>
      </c>
      <c r="D27" s="369" t="n">
        <v>7065.508</v>
      </c>
      <c r="E27" s="165" t="n">
        <v>1</v>
      </c>
      <c r="F27" s="165" t="n">
        <v>0</v>
      </c>
      <c r="G27" s="369" t="n">
        <v>7065.508</v>
      </c>
      <c r="H27" s="369" t="n">
        <v>0</v>
      </c>
      <c r="I27" s="167" t="n">
        <v>0.014041082738689</v>
      </c>
      <c r="J27" s="165" t="n">
        <v>23</v>
      </c>
    </row>
    <row r="28" customFormat="false" ht="15.75" hidden="false" customHeight="true" outlineLevel="0" collapsed="false">
      <c r="A28" s="194" t="s">
        <v>1152</v>
      </c>
      <c r="B28" s="170" t="n">
        <v>3</v>
      </c>
      <c r="C28" s="370" t="n">
        <v>6865.008</v>
      </c>
      <c r="D28" s="370" t="n">
        <v>2288.336</v>
      </c>
      <c r="E28" s="170" t="n">
        <v>3</v>
      </c>
      <c r="F28" s="170" t="n">
        <v>0</v>
      </c>
      <c r="G28" s="370" t="n">
        <v>6865.008</v>
      </c>
      <c r="H28" s="370" t="n">
        <v>0</v>
      </c>
      <c r="I28" s="172" t="n">
        <v>0.0136426348013139</v>
      </c>
      <c r="J28" s="170" t="n">
        <v>24</v>
      </c>
    </row>
    <row r="29" customFormat="false" ht="15.75" hidden="false" customHeight="true" outlineLevel="0" collapsed="false">
      <c r="A29" s="187" t="s">
        <v>1153</v>
      </c>
      <c r="B29" s="165" t="n">
        <v>2</v>
      </c>
      <c r="C29" s="369" t="n">
        <v>6713.04</v>
      </c>
      <c r="D29" s="369" t="n">
        <v>3356.52</v>
      </c>
      <c r="E29" s="165" t="n">
        <v>2</v>
      </c>
      <c r="F29" s="165" t="n">
        <v>0</v>
      </c>
      <c r="G29" s="369" t="n">
        <v>6713.04</v>
      </c>
      <c r="H29" s="369" t="n">
        <v>0</v>
      </c>
      <c r="I29" s="167" t="n">
        <v>0.0133406331247702</v>
      </c>
      <c r="J29" s="165" t="n">
        <v>25</v>
      </c>
    </row>
    <row r="30" customFormat="false" ht="15.75" hidden="false" customHeight="true" outlineLevel="0" collapsed="false">
      <c r="A30" s="194" t="s">
        <v>163</v>
      </c>
      <c r="B30" s="170" t="n">
        <v>2</v>
      </c>
      <c r="C30" s="370" t="n">
        <v>6530</v>
      </c>
      <c r="D30" s="370" t="n">
        <v>3265</v>
      </c>
      <c r="E30" s="170" t="n">
        <v>1</v>
      </c>
      <c r="F30" s="170" t="n">
        <v>1</v>
      </c>
      <c r="G30" s="370" t="n">
        <v>6400</v>
      </c>
      <c r="H30" s="370" t="n">
        <v>130</v>
      </c>
      <c r="I30" s="172" t="n">
        <v>0.0129768829479266</v>
      </c>
      <c r="J30" s="170" t="n">
        <v>26</v>
      </c>
    </row>
    <row r="31" customFormat="false" ht="15.75" hidden="false" customHeight="true" outlineLevel="0" collapsed="false">
      <c r="A31" s="187" t="s">
        <v>113</v>
      </c>
      <c r="B31" s="165" t="n">
        <v>3</v>
      </c>
      <c r="C31" s="369" t="n">
        <v>6404.006</v>
      </c>
      <c r="D31" s="369" t="n">
        <v>2134.66866666667</v>
      </c>
      <c r="E31" s="165" t="n">
        <v>3</v>
      </c>
      <c r="F31" s="165" t="n">
        <v>0</v>
      </c>
      <c r="G31" s="369" t="n">
        <v>6404.006</v>
      </c>
      <c r="H31" s="369" t="n">
        <v>0</v>
      </c>
      <c r="I31" s="167" t="n">
        <v>0.0127264986615344</v>
      </c>
      <c r="J31" s="165" t="n">
        <v>27</v>
      </c>
    </row>
    <row r="32" customFormat="false" ht="15.75" hidden="false" customHeight="true" outlineLevel="0" collapsed="false">
      <c r="A32" s="194" t="s">
        <v>1154</v>
      </c>
      <c r="B32" s="170" t="n">
        <v>3</v>
      </c>
      <c r="C32" s="370" t="n">
        <v>6010</v>
      </c>
      <c r="D32" s="370" t="n">
        <v>2003.33333333333</v>
      </c>
      <c r="E32" s="170" t="n">
        <v>2</v>
      </c>
      <c r="F32" s="170" t="n">
        <v>1</v>
      </c>
      <c r="G32" s="370" t="n">
        <v>5550</v>
      </c>
      <c r="H32" s="370" t="n">
        <v>460</v>
      </c>
      <c r="I32" s="172" t="n">
        <v>0.0119435017637119</v>
      </c>
      <c r="J32" s="170" t="n">
        <v>28</v>
      </c>
    </row>
    <row r="33" customFormat="false" ht="15.75" hidden="false" customHeight="true" outlineLevel="0" collapsed="false">
      <c r="A33" s="187" t="s">
        <v>69</v>
      </c>
      <c r="B33" s="165" t="n">
        <v>1</v>
      </c>
      <c r="C33" s="369" t="n">
        <v>5383.0095</v>
      </c>
      <c r="D33" s="369" t="n">
        <v>5383.0095</v>
      </c>
      <c r="E33" s="165" t="n">
        <v>1</v>
      </c>
      <c r="F33" s="165" t="n">
        <v>0</v>
      </c>
      <c r="G33" s="369" t="n">
        <v>5383.0095</v>
      </c>
      <c r="H33" s="369" t="n">
        <v>0</v>
      </c>
      <c r="I33" s="167" t="n">
        <v>0.0106975014072093</v>
      </c>
      <c r="J33" s="165" t="n">
        <v>29</v>
      </c>
    </row>
    <row r="34" customFormat="false" ht="15.75" hidden="false" customHeight="true" outlineLevel="0" collapsed="false">
      <c r="A34" s="194" t="s">
        <v>167</v>
      </c>
      <c r="B34" s="170" t="n">
        <v>1</v>
      </c>
      <c r="C34" s="370" t="n">
        <v>4947.5221</v>
      </c>
      <c r="D34" s="370" t="n">
        <v>4947.5221</v>
      </c>
      <c r="E34" s="170" t="n">
        <v>1</v>
      </c>
      <c r="F34" s="170" t="n">
        <v>0</v>
      </c>
      <c r="G34" s="370" t="n">
        <v>4947.5221</v>
      </c>
      <c r="H34" s="370" t="n">
        <v>0</v>
      </c>
      <c r="I34" s="172" t="n">
        <v>0.00983206970505052</v>
      </c>
      <c r="J34" s="170" t="n">
        <v>30</v>
      </c>
    </row>
    <row r="35" customFormat="false" ht="15.75" hidden="false" customHeight="true" outlineLevel="0" collapsed="false">
      <c r="A35" s="187" t="s">
        <v>298</v>
      </c>
      <c r="B35" s="165" t="n">
        <v>4</v>
      </c>
      <c r="C35" s="369" t="n">
        <v>4816.208</v>
      </c>
      <c r="D35" s="369" t="n">
        <v>1204.052</v>
      </c>
      <c r="E35" s="165" t="n">
        <v>1</v>
      </c>
      <c r="F35" s="165" t="n">
        <v>3</v>
      </c>
      <c r="G35" s="369" t="n">
        <v>3906.208</v>
      </c>
      <c r="H35" s="369" t="n">
        <v>910</v>
      </c>
      <c r="I35" s="167" t="n">
        <v>0.00957111293550805</v>
      </c>
      <c r="J35" s="165" t="n">
        <v>31</v>
      </c>
    </row>
    <row r="36" customFormat="false" ht="15.75" hidden="false" customHeight="true" outlineLevel="0" collapsed="false">
      <c r="A36" s="194" t="s">
        <v>1155</v>
      </c>
      <c r="B36" s="170" t="n">
        <v>1</v>
      </c>
      <c r="C36" s="370" t="n">
        <v>4728.67</v>
      </c>
      <c r="D36" s="370" t="n">
        <v>4728.67</v>
      </c>
      <c r="E36" s="170" t="n">
        <v>1</v>
      </c>
      <c r="F36" s="170" t="n">
        <v>0</v>
      </c>
      <c r="G36" s="370" t="n">
        <v>4728.67</v>
      </c>
      <c r="H36" s="370" t="n">
        <v>0</v>
      </c>
      <c r="I36" s="172" t="n">
        <v>0.00939715116223155</v>
      </c>
      <c r="J36" s="170" t="n">
        <v>32</v>
      </c>
    </row>
    <row r="37" customFormat="false" ht="15.75" hidden="false" customHeight="true" outlineLevel="0" collapsed="false">
      <c r="A37" s="187" t="s">
        <v>82</v>
      </c>
      <c r="B37" s="165" t="n">
        <v>4</v>
      </c>
      <c r="C37" s="369" t="n">
        <v>4710.002</v>
      </c>
      <c r="D37" s="369" t="n">
        <v>1177.5005</v>
      </c>
      <c r="E37" s="165" t="n">
        <v>2</v>
      </c>
      <c r="F37" s="165" t="n">
        <v>2</v>
      </c>
      <c r="G37" s="369" t="n">
        <v>3790.002</v>
      </c>
      <c r="H37" s="369" t="n">
        <v>920</v>
      </c>
      <c r="I37" s="167" t="n">
        <v>0.00936005277771824</v>
      </c>
      <c r="J37" s="165" t="n">
        <v>33</v>
      </c>
    </row>
    <row r="38" customFormat="false" ht="15.75" hidden="false" customHeight="true" outlineLevel="0" collapsed="false">
      <c r="A38" s="194" t="s">
        <v>295</v>
      </c>
      <c r="B38" s="170" t="n">
        <v>2</v>
      </c>
      <c r="C38" s="370" t="n">
        <v>4634.009</v>
      </c>
      <c r="D38" s="370" t="n">
        <v>2317.0045</v>
      </c>
      <c r="E38" s="170" t="n">
        <v>1</v>
      </c>
      <c r="F38" s="170" t="n">
        <v>1</v>
      </c>
      <c r="G38" s="370" t="n">
        <v>4174.009</v>
      </c>
      <c r="H38" s="370" t="n">
        <v>460</v>
      </c>
      <c r="I38" s="172" t="n">
        <v>0.00920903405400281</v>
      </c>
      <c r="J38" s="170" t="n">
        <v>34</v>
      </c>
    </row>
    <row r="39" customFormat="false" ht="15.75" hidden="false" customHeight="true" outlineLevel="0" collapsed="false">
      <c r="A39" s="187" t="s">
        <v>170</v>
      </c>
      <c r="B39" s="165" t="n">
        <v>1</v>
      </c>
      <c r="C39" s="369" t="n">
        <v>4630.008</v>
      </c>
      <c r="D39" s="369" t="n">
        <v>4630.008</v>
      </c>
      <c r="E39" s="165" t="n">
        <v>1</v>
      </c>
      <c r="F39" s="165" t="n">
        <v>0</v>
      </c>
      <c r="G39" s="369" t="n">
        <v>4630.008</v>
      </c>
      <c r="H39" s="369" t="n">
        <v>0</v>
      </c>
      <c r="I39" s="167" t="n">
        <v>0.00920108298069888</v>
      </c>
      <c r="J39" s="165" t="n">
        <v>35</v>
      </c>
    </row>
    <row r="40" customFormat="false" ht="15.75" hidden="false" customHeight="true" outlineLevel="0" collapsed="false">
      <c r="A40" s="194" t="s">
        <v>146</v>
      </c>
      <c r="B40" s="170" t="n">
        <v>2</v>
      </c>
      <c r="C40" s="370" t="n">
        <v>4610.39</v>
      </c>
      <c r="D40" s="370" t="n">
        <v>2305.195</v>
      </c>
      <c r="E40" s="170" t="n">
        <v>1</v>
      </c>
      <c r="F40" s="170" t="n">
        <v>1</v>
      </c>
      <c r="G40" s="370" t="n">
        <v>4030.39</v>
      </c>
      <c r="H40" s="370" t="n">
        <v>580</v>
      </c>
      <c r="I40" s="172" t="n">
        <v>0.00916209668825287</v>
      </c>
      <c r="J40" s="170" t="n">
        <v>36</v>
      </c>
    </row>
    <row r="41" customFormat="false" ht="15.75" hidden="false" customHeight="true" outlineLevel="0" collapsed="false">
      <c r="A41" s="187" t="s">
        <v>173</v>
      </c>
      <c r="B41" s="165" t="n">
        <v>1</v>
      </c>
      <c r="C41" s="369" t="n">
        <v>4568.813</v>
      </c>
      <c r="D41" s="369" t="n">
        <v>4568.813</v>
      </c>
      <c r="E41" s="165" t="n">
        <v>1</v>
      </c>
      <c r="F41" s="165" t="n">
        <v>0</v>
      </c>
      <c r="G41" s="369" t="n">
        <v>4568.813</v>
      </c>
      <c r="H41" s="369" t="n">
        <v>0</v>
      </c>
      <c r="I41" s="167" t="n">
        <v>0.00907947190076038</v>
      </c>
      <c r="J41" s="165" t="n">
        <v>37</v>
      </c>
    </row>
    <row r="42" customFormat="false" ht="15.75" hidden="false" customHeight="true" outlineLevel="0" collapsed="false">
      <c r="A42" s="194" t="s">
        <v>1156</v>
      </c>
      <c r="B42" s="170" t="n">
        <v>1</v>
      </c>
      <c r="C42" s="370" t="n">
        <v>4195.004</v>
      </c>
      <c r="D42" s="370" t="n">
        <v>4195.004</v>
      </c>
      <c r="E42" s="170" t="n">
        <v>1</v>
      </c>
      <c r="F42" s="170" t="n">
        <v>0</v>
      </c>
      <c r="G42" s="370" t="n">
        <v>4195.004</v>
      </c>
      <c r="H42" s="370" t="n">
        <v>0</v>
      </c>
      <c r="I42" s="172" t="n">
        <v>0.00833661192558711</v>
      </c>
      <c r="J42" s="170" t="n">
        <v>38</v>
      </c>
    </row>
    <row r="43" customFormat="false" ht="15.75" hidden="false" customHeight="true" outlineLevel="0" collapsed="false">
      <c r="A43" s="187" t="s">
        <v>253</v>
      </c>
      <c r="B43" s="165" t="n">
        <v>1</v>
      </c>
      <c r="C43" s="369" t="n">
        <v>3700.006</v>
      </c>
      <c r="D43" s="369" t="n">
        <v>3700.006</v>
      </c>
      <c r="E43" s="165" t="n">
        <v>1</v>
      </c>
      <c r="F43" s="165" t="n">
        <v>0</v>
      </c>
      <c r="G43" s="369" t="n">
        <v>3700.006</v>
      </c>
      <c r="H43" s="369" t="n">
        <v>0</v>
      </c>
      <c r="I43" s="167" t="n">
        <v>0.00735291650361808</v>
      </c>
      <c r="J43" s="165" t="n">
        <v>39</v>
      </c>
    </row>
    <row r="44" customFormat="false" ht="15.75" hidden="false" customHeight="true" outlineLevel="0" collapsed="false">
      <c r="A44" s="194" t="s">
        <v>1157</v>
      </c>
      <c r="B44" s="170" t="n">
        <v>2</v>
      </c>
      <c r="C44" s="370" t="n">
        <v>3650</v>
      </c>
      <c r="D44" s="370" t="n">
        <v>1825</v>
      </c>
      <c r="E44" s="170" t="n">
        <v>1</v>
      </c>
      <c r="F44" s="170" t="n">
        <v>1</v>
      </c>
      <c r="G44" s="370" t="n">
        <v>3190</v>
      </c>
      <c r="H44" s="370" t="n">
        <v>460</v>
      </c>
      <c r="I44" s="172" t="n">
        <v>0.00725354100458377</v>
      </c>
      <c r="J44" s="170" t="n">
        <v>40</v>
      </c>
    </row>
    <row r="45" customFormat="false" ht="15.75" hidden="false" customHeight="true" outlineLevel="0" collapsed="false">
      <c r="A45" s="187" t="s">
        <v>134</v>
      </c>
      <c r="B45" s="165" t="n">
        <v>2</v>
      </c>
      <c r="C45" s="369" t="n">
        <v>3354.435</v>
      </c>
      <c r="D45" s="369" t="n">
        <v>1677.2175</v>
      </c>
      <c r="E45" s="165" t="n">
        <v>2</v>
      </c>
      <c r="F45" s="165" t="n">
        <v>0</v>
      </c>
      <c r="G45" s="369" t="n">
        <v>3354.435</v>
      </c>
      <c r="H45" s="369" t="n">
        <v>0</v>
      </c>
      <c r="I45" s="167" t="n">
        <v>0.00666617310129068</v>
      </c>
      <c r="J45" s="165" t="n">
        <v>41</v>
      </c>
    </row>
    <row r="46" customFormat="false" ht="15.75" hidden="false" customHeight="true" outlineLevel="0" collapsed="false">
      <c r="A46" s="194" t="s">
        <v>116</v>
      </c>
      <c r="B46" s="170" t="n">
        <v>4</v>
      </c>
      <c r="C46" s="370" t="n">
        <v>3317.63</v>
      </c>
      <c r="D46" s="370" t="n">
        <v>829.4075</v>
      </c>
      <c r="E46" s="170" t="n">
        <v>3</v>
      </c>
      <c r="F46" s="170" t="n">
        <v>1</v>
      </c>
      <c r="G46" s="370" t="n">
        <v>3317.63</v>
      </c>
      <c r="H46" s="370" t="n">
        <v>0</v>
      </c>
      <c r="I46" s="172" t="n">
        <v>0.00659303157343487</v>
      </c>
      <c r="J46" s="170" t="n">
        <v>42</v>
      </c>
    </row>
    <row r="47" customFormat="false" ht="15.75" hidden="false" customHeight="true" outlineLevel="0" collapsed="false">
      <c r="A47" s="187" t="s">
        <v>1158</v>
      </c>
      <c r="B47" s="165" t="n">
        <v>1</v>
      </c>
      <c r="C47" s="369" t="n">
        <v>3283.2348</v>
      </c>
      <c r="D47" s="369" t="n">
        <v>3283.2348</v>
      </c>
      <c r="E47" s="165" t="n">
        <v>1</v>
      </c>
      <c r="F47" s="165" t="n">
        <v>0</v>
      </c>
      <c r="G47" s="369" t="n">
        <v>3283.2348</v>
      </c>
      <c r="H47" s="369" t="n">
        <v>0</v>
      </c>
      <c r="I47" s="167" t="n">
        <v>0.00652467897245929</v>
      </c>
      <c r="J47" s="165" t="n">
        <v>43</v>
      </c>
    </row>
    <row r="48" customFormat="false" ht="15.75" hidden="false" customHeight="true" outlineLevel="0" collapsed="false">
      <c r="A48" s="194" t="s">
        <v>1159</v>
      </c>
      <c r="B48" s="170" t="n">
        <v>1</v>
      </c>
      <c r="C48" s="370" t="n">
        <v>3183.004</v>
      </c>
      <c r="D48" s="370" t="n">
        <v>3183.004</v>
      </c>
      <c r="E48" s="170" t="n">
        <v>1</v>
      </c>
      <c r="F48" s="170" t="n">
        <v>0</v>
      </c>
      <c r="G48" s="370" t="n">
        <v>3183.004</v>
      </c>
      <c r="H48" s="370" t="n">
        <v>0</v>
      </c>
      <c r="I48" s="172" t="n">
        <v>0.0063254931593847</v>
      </c>
      <c r="J48" s="170" t="n">
        <v>44</v>
      </c>
    </row>
    <row r="49" customFormat="false" ht="15.75" hidden="false" customHeight="true" outlineLevel="0" collapsed="false">
      <c r="A49" s="187" t="s">
        <v>1160</v>
      </c>
      <c r="B49" s="165" t="n">
        <v>6</v>
      </c>
      <c r="C49" s="369" t="n">
        <v>3164</v>
      </c>
      <c r="D49" s="369" t="n">
        <v>527.333333333333</v>
      </c>
      <c r="E49" s="165" t="n">
        <v>6</v>
      </c>
      <c r="F49" s="165" t="n">
        <v>0</v>
      </c>
      <c r="G49" s="369" t="n">
        <v>3164</v>
      </c>
      <c r="H49" s="369" t="n">
        <v>0</v>
      </c>
      <c r="I49" s="167" t="n">
        <v>0.00628772705164467</v>
      </c>
      <c r="J49" s="165" t="n">
        <v>45</v>
      </c>
    </row>
    <row r="50" customFormat="false" ht="15.75" hidden="false" customHeight="true" outlineLevel="0" collapsed="false">
      <c r="A50" s="194" t="s">
        <v>181</v>
      </c>
      <c r="B50" s="170" t="n">
        <v>1</v>
      </c>
      <c r="C50" s="370" t="n">
        <v>3133.2258</v>
      </c>
      <c r="D50" s="370" t="n">
        <v>3133.2258</v>
      </c>
      <c r="E50" s="170" t="n">
        <v>1</v>
      </c>
      <c r="F50" s="170" t="n">
        <v>0</v>
      </c>
      <c r="G50" s="370" t="n">
        <v>3133.2258</v>
      </c>
      <c r="H50" s="370" t="n">
        <v>0</v>
      </c>
      <c r="I50" s="172" t="n">
        <v>0.00622657036079994</v>
      </c>
      <c r="J50" s="170" t="n">
        <v>46</v>
      </c>
    </row>
    <row r="51" customFormat="false" ht="15.75" hidden="false" customHeight="true" outlineLevel="0" collapsed="false">
      <c r="A51" s="187" t="s">
        <v>1161</v>
      </c>
      <c r="B51" s="165" t="n">
        <v>1</v>
      </c>
      <c r="C51" s="369" t="n">
        <v>2865.004</v>
      </c>
      <c r="D51" s="369" t="n">
        <v>2865.004</v>
      </c>
      <c r="E51" s="165" t="n">
        <v>1</v>
      </c>
      <c r="F51" s="165" t="n">
        <v>0</v>
      </c>
      <c r="G51" s="369" t="n">
        <v>2865.004</v>
      </c>
      <c r="H51" s="369" t="n">
        <v>0</v>
      </c>
      <c r="I51" s="167" t="n">
        <v>0.00569354081980727</v>
      </c>
      <c r="J51" s="165" t="n">
        <v>47</v>
      </c>
    </row>
    <row r="52" customFormat="false" ht="15.75" hidden="false" customHeight="true" outlineLevel="0" collapsed="false">
      <c r="A52" s="194" t="s">
        <v>1162</v>
      </c>
      <c r="B52" s="170" t="n">
        <v>1</v>
      </c>
      <c r="C52" s="370" t="n">
        <v>2780.003</v>
      </c>
      <c r="D52" s="370" t="n">
        <v>2780.003</v>
      </c>
      <c r="E52" s="170" t="n">
        <v>1</v>
      </c>
      <c r="F52" s="170" t="n">
        <v>0</v>
      </c>
      <c r="G52" s="370" t="n">
        <v>2780.003</v>
      </c>
      <c r="H52" s="370" t="n">
        <v>0</v>
      </c>
      <c r="I52" s="172" t="n">
        <v>0.00552462075434682</v>
      </c>
      <c r="J52" s="170" t="n">
        <v>48</v>
      </c>
    </row>
    <row r="53" customFormat="false" ht="15.75" hidden="false" customHeight="true" outlineLevel="0" collapsed="false">
      <c r="A53" s="187" t="s">
        <v>88</v>
      </c>
      <c r="B53" s="165" t="n">
        <v>1</v>
      </c>
      <c r="C53" s="369" t="n">
        <v>2640</v>
      </c>
      <c r="D53" s="369" t="n">
        <v>2640</v>
      </c>
      <c r="E53" s="165" t="n">
        <v>1</v>
      </c>
      <c r="F53" s="165" t="n">
        <v>0</v>
      </c>
      <c r="G53" s="369" t="n">
        <v>2640</v>
      </c>
      <c r="H53" s="369" t="n">
        <v>0</v>
      </c>
      <c r="I53" s="167" t="n">
        <v>0.00524639678139758</v>
      </c>
      <c r="J53" s="165" t="n">
        <v>49</v>
      </c>
    </row>
    <row r="54" customFormat="false" ht="15.75" hidden="false" customHeight="true" outlineLevel="0" collapsed="false">
      <c r="A54" s="194" t="s">
        <v>1163</v>
      </c>
      <c r="B54" s="170" t="n">
        <v>1</v>
      </c>
      <c r="C54" s="370" t="n">
        <v>2628.002</v>
      </c>
      <c r="D54" s="370" t="n">
        <v>2628.002</v>
      </c>
      <c r="E54" s="170" t="n">
        <v>1</v>
      </c>
      <c r="F54" s="170" t="n">
        <v>0</v>
      </c>
      <c r="G54" s="370" t="n">
        <v>2628.002</v>
      </c>
      <c r="H54" s="370" t="n">
        <v>0</v>
      </c>
      <c r="I54" s="172" t="n">
        <v>0.00522255349784333</v>
      </c>
      <c r="J54" s="170" t="n">
        <v>50</v>
      </c>
    </row>
    <row r="55" customFormat="false" ht="15.75" hidden="false" customHeight="true" outlineLevel="0" collapsed="false">
      <c r="A55" s="187" t="s">
        <v>1164</v>
      </c>
      <c r="B55" s="165" t="n">
        <v>1</v>
      </c>
      <c r="C55" s="369" t="n">
        <v>2425.8222</v>
      </c>
      <c r="D55" s="369" t="n">
        <v>2425.8222</v>
      </c>
      <c r="E55" s="165" t="n">
        <v>1</v>
      </c>
      <c r="F55" s="165" t="n">
        <v>0</v>
      </c>
      <c r="G55" s="369" t="n">
        <v>2425.8222</v>
      </c>
      <c r="H55" s="369" t="n">
        <v>0</v>
      </c>
      <c r="I55" s="167" t="n">
        <v>0.00482076734178894</v>
      </c>
      <c r="J55" s="165" t="n">
        <v>51</v>
      </c>
    </row>
    <row r="56" customFormat="false" ht="15.75" hidden="false" customHeight="true" outlineLevel="0" collapsed="false">
      <c r="A56" s="194" t="s">
        <v>1165</v>
      </c>
      <c r="B56" s="170" t="n">
        <v>1</v>
      </c>
      <c r="C56" s="370" t="n">
        <v>2388.008</v>
      </c>
      <c r="D56" s="370" t="n">
        <v>2388.008</v>
      </c>
      <c r="E56" s="170" t="n">
        <v>1</v>
      </c>
      <c r="F56" s="170" t="n">
        <v>0</v>
      </c>
      <c r="G56" s="370" t="n">
        <v>2388.008</v>
      </c>
      <c r="H56" s="370" t="n">
        <v>0</v>
      </c>
      <c r="I56" s="172" t="n">
        <v>0.00474562025952715</v>
      </c>
      <c r="J56" s="170" t="n">
        <v>52</v>
      </c>
    </row>
    <row r="57" customFormat="false" ht="15.75" hidden="false" customHeight="true" outlineLevel="0" collapsed="false">
      <c r="A57" s="187" t="s">
        <v>264</v>
      </c>
      <c r="B57" s="165" t="n">
        <v>1</v>
      </c>
      <c r="C57" s="369" t="n">
        <v>2380.003</v>
      </c>
      <c r="D57" s="369" t="n">
        <v>2380.003</v>
      </c>
      <c r="E57" s="165" t="n">
        <v>1</v>
      </c>
      <c r="F57" s="165" t="n">
        <v>0</v>
      </c>
      <c r="G57" s="369" t="n">
        <v>2380.003</v>
      </c>
      <c r="H57" s="369" t="n">
        <v>0</v>
      </c>
      <c r="I57" s="167" t="n">
        <v>0.00472971215110477</v>
      </c>
      <c r="J57" s="165" t="n">
        <v>53</v>
      </c>
    </row>
    <row r="58" customFormat="false" ht="15.75" hidden="false" customHeight="true" outlineLevel="0" collapsed="false">
      <c r="A58" s="194" t="s">
        <v>1166</v>
      </c>
      <c r="B58" s="170" t="n">
        <v>1</v>
      </c>
      <c r="C58" s="370" t="n">
        <v>2360</v>
      </c>
      <c r="D58" s="370" t="n">
        <v>2360</v>
      </c>
      <c r="E58" s="170" t="n">
        <v>1</v>
      </c>
      <c r="F58" s="170" t="n">
        <v>0</v>
      </c>
      <c r="G58" s="370" t="n">
        <v>2360</v>
      </c>
      <c r="H58" s="370" t="n">
        <v>0</v>
      </c>
      <c r="I58" s="172" t="n">
        <v>0.00468996075912814</v>
      </c>
      <c r="J58" s="170" t="n">
        <v>54</v>
      </c>
    </row>
    <row r="59" customFormat="false" ht="15.75" hidden="false" customHeight="true" outlineLevel="0" collapsed="false">
      <c r="A59" s="187" t="s">
        <v>1167</v>
      </c>
      <c r="B59" s="165" t="n">
        <v>1</v>
      </c>
      <c r="C59" s="369" t="n">
        <v>2351.01</v>
      </c>
      <c r="D59" s="369" t="n">
        <v>2351.01</v>
      </c>
      <c r="E59" s="165" t="n">
        <v>1</v>
      </c>
      <c r="F59" s="165" t="n">
        <v>0</v>
      </c>
      <c r="G59" s="369" t="n">
        <v>2351.01</v>
      </c>
      <c r="H59" s="369" t="n">
        <v>0</v>
      </c>
      <c r="I59" s="167" t="n">
        <v>0.00467209518827027</v>
      </c>
      <c r="J59" s="165" t="n">
        <v>55</v>
      </c>
    </row>
    <row r="60" customFormat="false" ht="15.75" hidden="false" customHeight="true" outlineLevel="0" collapsed="false">
      <c r="A60" s="194" t="s">
        <v>267</v>
      </c>
      <c r="B60" s="170" t="n">
        <v>1</v>
      </c>
      <c r="C60" s="370" t="n">
        <v>2335.608</v>
      </c>
      <c r="D60" s="370" t="n">
        <v>2335.608</v>
      </c>
      <c r="E60" s="170" t="n">
        <v>1</v>
      </c>
      <c r="F60" s="170" t="n">
        <v>0</v>
      </c>
      <c r="G60" s="370" t="n">
        <v>2335.608</v>
      </c>
      <c r="H60" s="370" t="n">
        <v>0</v>
      </c>
      <c r="I60" s="172" t="n">
        <v>0.00464148723250244</v>
      </c>
      <c r="J60" s="170" t="n">
        <v>56</v>
      </c>
    </row>
    <row r="61" customFormat="false" ht="15.75" hidden="false" customHeight="true" outlineLevel="0" collapsed="false">
      <c r="A61" s="187" t="s">
        <v>1168</v>
      </c>
      <c r="B61" s="165" t="n">
        <v>1</v>
      </c>
      <c r="C61" s="369" t="n">
        <v>2217</v>
      </c>
      <c r="D61" s="369" t="n">
        <v>2217</v>
      </c>
      <c r="E61" s="165" t="n">
        <v>0</v>
      </c>
      <c r="F61" s="165" t="n">
        <v>1</v>
      </c>
      <c r="G61" s="369" t="n">
        <v>0</v>
      </c>
      <c r="H61" s="369" t="n">
        <v>2217</v>
      </c>
      <c r="I61" s="167" t="n">
        <v>0.0044057809334691</v>
      </c>
      <c r="J61" s="165" t="n">
        <v>57</v>
      </c>
    </row>
    <row r="62" customFormat="false" ht="15.75" hidden="false" customHeight="true" outlineLevel="0" collapsed="false">
      <c r="A62" s="194" t="s">
        <v>1169</v>
      </c>
      <c r="B62" s="170" t="n">
        <v>3</v>
      </c>
      <c r="C62" s="370" t="n">
        <v>2213.9506</v>
      </c>
      <c r="D62" s="370" t="n">
        <v>737.983533333333</v>
      </c>
      <c r="E62" s="170" t="n">
        <v>1</v>
      </c>
      <c r="F62" s="170" t="n">
        <v>2</v>
      </c>
      <c r="G62" s="370" t="n">
        <v>1753.9506</v>
      </c>
      <c r="H62" s="370" t="n">
        <v>460</v>
      </c>
      <c r="I62" s="172" t="n">
        <v>0.00439972094773229</v>
      </c>
      <c r="J62" s="170" t="n">
        <v>58</v>
      </c>
    </row>
    <row r="63" customFormat="false" ht="15.75" hidden="false" customHeight="true" outlineLevel="0" collapsed="false">
      <c r="A63" s="187" t="s">
        <v>1170</v>
      </c>
      <c r="B63" s="165" t="n">
        <v>1</v>
      </c>
      <c r="C63" s="369" t="n">
        <v>2098.7851</v>
      </c>
      <c r="D63" s="369" t="n">
        <v>2098.7851</v>
      </c>
      <c r="E63" s="165" t="n">
        <v>1</v>
      </c>
      <c r="F63" s="165" t="n">
        <v>0</v>
      </c>
      <c r="G63" s="369" t="n">
        <v>2098.7851</v>
      </c>
      <c r="H63" s="369" t="n">
        <v>0</v>
      </c>
      <c r="I63" s="167" t="n">
        <v>0.0041708558308656</v>
      </c>
      <c r="J63" s="165" t="n">
        <v>59</v>
      </c>
    </row>
    <row r="64" customFormat="false" ht="15.75" hidden="false" customHeight="true" outlineLevel="0" collapsed="false">
      <c r="A64" s="194" t="s">
        <v>1171</v>
      </c>
      <c r="B64" s="170" t="n">
        <v>1</v>
      </c>
      <c r="C64" s="370" t="n">
        <v>2069.927</v>
      </c>
      <c r="D64" s="370" t="n">
        <v>2069.927</v>
      </c>
      <c r="E64" s="170" t="n">
        <v>1</v>
      </c>
      <c r="F64" s="170" t="n">
        <v>0</v>
      </c>
      <c r="G64" s="370" t="n">
        <v>2069.927</v>
      </c>
      <c r="H64" s="370" t="n">
        <v>0</v>
      </c>
      <c r="I64" s="172" t="n">
        <v>0.00411350695095755</v>
      </c>
      <c r="J64" s="170" t="n">
        <v>60</v>
      </c>
    </row>
    <row r="65" customFormat="false" ht="15.75" hidden="false" customHeight="true" outlineLevel="0" collapsed="false">
      <c r="A65" s="187" t="s">
        <v>306</v>
      </c>
      <c r="B65" s="165" t="n">
        <v>1</v>
      </c>
      <c r="C65" s="369" t="n">
        <v>1985</v>
      </c>
      <c r="D65" s="369" t="n">
        <v>1985</v>
      </c>
      <c r="E65" s="165" t="n">
        <v>1</v>
      </c>
      <c r="F65" s="165" t="n">
        <v>0</v>
      </c>
      <c r="G65" s="369" t="n">
        <v>1985</v>
      </c>
      <c r="H65" s="369" t="n">
        <v>0</v>
      </c>
      <c r="I65" s="167" t="n">
        <v>0.00394473394358871</v>
      </c>
      <c r="J65" s="165" t="n">
        <v>61</v>
      </c>
    </row>
    <row r="66" customFormat="false" ht="15.75" hidden="false" customHeight="true" outlineLevel="0" collapsed="false">
      <c r="A66" s="194" t="s">
        <v>160</v>
      </c>
      <c r="B66" s="170" t="n">
        <v>1</v>
      </c>
      <c r="C66" s="370" t="n">
        <v>1970</v>
      </c>
      <c r="D66" s="370" t="n">
        <v>1970</v>
      </c>
      <c r="E66" s="170" t="n">
        <v>1</v>
      </c>
      <c r="F66" s="170" t="n">
        <v>0</v>
      </c>
      <c r="G66" s="370" t="n">
        <v>1970</v>
      </c>
      <c r="H66" s="370" t="n">
        <v>0</v>
      </c>
      <c r="I66" s="172" t="n">
        <v>0.00391492487096713</v>
      </c>
      <c r="J66" s="170" t="n">
        <v>62</v>
      </c>
    </row>
    <row r="67" customFormat="false" ht="15.75" hidden="false" customHeight="true" outlineLevel="0" collapsed="false">
      <c r="A67" s="187" t="s">
        <v>323</v>
      </c>
      <c r="B67" s="165" t="n">
        <v>3</v>
      </c>
      <c r="C67" s="369" t="n">
        <v>1915.0025</v>
      </c>
      <c r="D67" s="369" t="n">
        <v>638.334166666667</v>
      </c>
      <c r="E67" s="165" t="n">
        <v>1</v>
      </c>
      <c r="F67" s="165" t="n">
        <v>2</v>
      </c>
      <c r="G67" s="369" t="n">
        <v>1325.0025</v>
      </c>
      <c r="H67" s="369" t="n">
        <v>590</v>
      </c>
      <c r="I67" s="167" t="n">
        <v>0.00380562990620012</v>
      </c>
      <c r="J67" s="165" t="n">
        <v>63</v>
      </c>
    </row>
    <row r="68" customFormat="false" ht="15.75" hidden="false" customHeight="true" outlineLevel="0" collapsed="false">
      <c r="A68" s="194" t="s">
        <v>1172</v>
      </c>
      <c r="B68" s="170" t="n">
        <v>1</v>
      </c>
      <c r="C68" s="370" t="n">
        <v>1893.003</v>
      </c>
      <c r="D68" s="370" t="n">
        <v>1893.003</v>
      </c>
      <c r="E68" s="170" t="n">
        <v>1</v>
      </c>
      <c r="F68" s="170" t="n">
        <v>0</v>
      </c>
      <c r="G68" s="370" t="n">
        <v>1893.003</v>
      </c>
      <c r="H68" s="370" t="n">
        <v>0</v>
      </c>
      <c r="I68" s="172" t="n">
        <v>0.00376191092665756</v>
      </c>
      <c r="J68" s="170" t="n">
        <v>64</v>
      </c>
    </row>
    <row r="69" customFormat="false" ht="15.75" hidden="false" customHeight="true" outlineLevel="0" collapsed="false">
      <c r="A69" s="187" t="s">
        <v>1173</v>
      </c>
      <c r="B69" s="165" t="n">
        <v>1</v>
      </c>
      <c r="C69" s="369" t="n">
        <v>1630</v>
      </c>
      <c r="D69" s="369" t="n">
        <v>1630</v>
      </c>
      <c r="E69" s="165" t="n">
        <v>1</v>
      </c>
      <c r="F69" s="165" t="n">
        <v>0</v>
      </c>
      <c r="G69" s="369" t="n">
        <v>1630</v>
      </c>
      <c r="H69" s="369" t="n">
        <v>0</v>
      </c>
      <c r="I69" s="167" t="n">
        <v>0.00323925255821138</v>
      </c>
      <c r="J69" s="165" t="n">
        <v>65</v>
      </c>
    </row>
    <row r="70" customFormat="false" ht="15.75" hidden="false" customHeight="true" outlineLevel="0" collapsed="false">
      <c r="A70" s="194" t="s">
        <v>1174</v>
      </c>
      <c r="B70" s="170" t="n">
        <v>1</v>
      </c>
      <c r="C70" s="370" t="n">
        <v>1560</v>
      </c>
      <c r="D70" s="370" t="n">
        <v>1560</v>
      </c>
      <c r="E70" s="170" t="n">
        <v>1</v>
      </c>
      <c r="F70" s="170" t="n">
        <v>0</v>
      </c>
      <c r="G70" s="370" t="n">
        <v>1560</v>
      </c>
      <c r="H70" s="370" t="n">
        <v>0</v>
      </c>
      <c r="I70" s="172" t="n">
        <v>0.00310014355264402</v>
      </c>
      <c r="J70" s="170" t="n">
        <v>66</v>
      </c>
    </row>
    <row r="71" customFormat="false" ht="15.75" hidden="false" customHeight="true" outlineLevel="0" collapsed="false">
      <c r="A71" s="187" t="s">
        <v>119</v>
      </c>
      <c r="B71" s="165" t="n">
        <v>1</v>
      </c>
      <c r="C71" s="369" t="n">
        <v>1195.282</v>
      </c>
      <c r="D71" s="369" t="n">
        <v>1195.282</v>
      </c>
      <c r="E71" s="165" t="n">
        <v>1</v>
      </c>
      <c r="F71" s="165" t="n">
        <v>0</v>
      </c>
      <c r="G71" s="369" t="n">
        <v>1195.282</v>
      </c>
      <c r="H71" s="369" t="n">
        <v>0</v>
      </c>
      <c r="I71" s="167" t="n">
        <v>0.00237534986275093</v>
      </c>
      <c r="J71" s="165" t="n">
        <v>67</v>
      </c>
    </row>
    <row r="72" customFormat="false" ht="15.75" hidden="false" customHeight="true" outlineLevel="0" collapsed="false">
      <c r="A72" s="194" t="s">
        <v>1175</v>
      </c>
      <c r="B72" s="170" t="n">
        <v>1</v>
      </c>
      <c r="C72" s="370" t="n">
        <v>1067.006</v>
      </c>
      <c r="D72" s="370" t="n">
        <v>1067.006</v>
      </c>
      <c r="E72" s="170" t="n">
        <v>1</v>
      </c>
      <c r="F72" s="170" t="n">
        <v>0</v>
      </c>
      <c r="G72" s="370" t="n">
        <v>1067.006</v>
      </c>
      <c r="H72" s="370" t="n">
        <v>0</v>
      </c>
      <c r="I72" s="172" t="n">
        <v>0.00212043062277724</v>
      </c>
      <c r="J72" s="170" t="n">
        <v>68</v>
      </c>
    </row>
    <row r="73" customFormat="false" ht="15.75" hidden="false" customHeight="true" outlineLevel="0" collapsed="false">
      <c r="A73" s="187" t="s">
        <v>1176</v>
      </c>
      <c r="B73" s="165" t="n">
        <v>1</v>
      </c>
      <c r="C73" s="369" t="n">
        <v>1040.004</v>
      </c>
      <c r="D73" s="369" t="n">
        <v>1040.004</v>
      </c>
      <c r="E73" s="165" t="n">
        <v>1</v>
      </c>
      <c r="F73" s="165" t="n">
        <v>0</v>
      </c>
      <c r="G73" s="369" t="n">
        <v>1040.004</v>
      </c>
      <c r="H73" s="369" t="n">
        <v>0</v>
      </c>
      <c r="I73" s="167" t="n">
        <v>0.00206677031751538</v>
      </c>
      <c r="J73" s="165" t="n">
        <v>69</v>
      </c>
    </row>
    <row r="74" customFormat="false" ht="15.75" hidden="false" customHeight="true" outlineLevel="0" collapsed="false">
      <c r="A74" s="194" t="s">
        <v>1177</v>
      </c>
      <c r="B74" s="170" t="n">
        <v>1</v>
      </c>
      <c r="C74" s="370" t="n">
        <v>1040.004</v>
      </c>
      <c r="D74" s="370" t="n">
        <v>1040.004</v>
      </c>
      <c r="E74" s="170" t="n">
        <v>1</v>
      </c>
      <c r="F74" s="170" t="n">
        <v>0</v>
      </c>
      <c r="G74" s="370" t="n">
        <v>1040.004</v>
      </c>
      <c r="H74" s="370" t="n">
        <v>0</v>
      </c>
      <c r="I74" s="172" t="n">
        <v>0.00206677031751538</v>
      </c>
      <c r="J74" s="170" t="n">
        <v>70</v>
      </c>
    </row>
    <row r="75" customFormat="false" ht="15.75" hidden="false" customHeight="true" outlineLevel="0" collapsed="false">
      <c r="A75" s="187" t="s">
        <v>396</v>
      </c>
      <c r="B75" s="165" t="n">
        <v>2</v>
      </c>
      <c r="C75" s="369" t="n">
        <v>1040</v>
      </c>
      <c r="D75" s="369" t="n">
        <v>520</v>
      </c>
      <c r="E75" s="165" t="n">
        <v>0</v>
      </c>
      <c r="F75" s="165" t="n">
        <v>2</v>
      </c>
      <c r="G75" s="369" t="n">
        <v>0</v>
      </c>
      <c r="H75" s="369" t="n">
        <v>1040</v>
      </c>
      <c r="I75" s="167" t="n">
        <v>0.00206676236842935</v>
      </c>
      <c r="J75" s="165" t="n">
        <v>71</v>
      </c>
    </row>
    <row r="76" customFormat="false" ht="15.75" hidden="false" customHeight="true" outlineLevel="0" collapsed="false">
      <c r="A76" s="194" t="s">
        <v>437</v>
      </c>
      <c r="B76" s="170" t="n">
        <v>2</v>
      </c>
      <c r="C76" s="370" t="n">
        <v>920</v>
      </c>
      <c r="D76" s="370" t="n">
        <v>460</v>
      </c>
      <c r="E76" s="170" t="n">
        <v>0</v>
      </c>
      <c r="F76" s="170" t="n">
        <v>2</v>
      </c>
      <c r="G76" s="370" t="n">
        <v>0</v>
      </c>
      <c r="H76" s="370" t="n">
        <v>920</v>
      </c>
      <c r="I76" s="172" t="n">
        <v>0.00182828978745673</v>
      </c>
      <c r="J76" s="170" t="n">
        <v>72</v>
      </c>
    </row>
    <row r="77" customFormat="false" ht="15.75" hidden="false" customHeight="true" outlineLevel="0" collapsed="false">
      <c r="A77" s="187" t="s">
        <v>468</v>
      </c>
      <c r="B77" s="165" t="n">
        <v>1</v>
      </c>
      <c r="C77" s="369" t="n">
        <v>920</v>
      </c>
      <c r="D77" s="369" t="n">
        <v>920</v>
      </c>
      <c r="E77" s="165" t="n">
        <v>0</v>
      </c>
      <c r="F77" s="165" t="n">
        <v>1</v>
      </c>
      <c r="G77" s="369" t="n">
        <v>0</v>
      </c>
      <c r="H77" s="369" t="n">
        <v>920</v>
      </c>
      <c r="I77" s="167" t="n">
        <v>0.00182828978745673</v>
      </c>
      <c r="J77" s="165" t="n">
        <v>73</v>
      </c>
    </row>
    <row r="78" customFormat="false" ht="15.75" hidden="false" customHeight="true" outlineLevel="0" collapsed="false">
      <c r="A78" s="194" t="s">
        <v>1178</v>
      </c>
      <c r="B78" s="170" t="n">
        <v>1</v>
      </c>
      <c r="C78" s="370" t="n">
        <v>780.003</v>
      </c>
      <c r="D78" s="370" t="n">
        <v>780.003</v>
      </c>
      <c r="E78" s="170" t="n">
        <v>1</v>
      </c>
      <c r="F78" s="170" t="n">
        <v>0</v>
      </c>
      <c r="G78" s="370" t="n">
        <v>780.003</v>
      </c>
      <c r="H78" s="370" t="n">
        <v>0</v>
      </c>
      <c r="I78" s="172" t="n">
        <v>0.00155007773813654</v>
      </c>
      <c r="J78" s="170" t="n">
        <v>74</v>
      </c>
    </row>
    <row r="79" customFormat="false" ht="15.75" hidden="false" customHeight="true" outlineLevel="0" collapsed="false">
      <c r="A79" s="187" t="s">
        <v>137</v>
      </c>
      <c r="B79" s="165" t="n">
        <v>1</v>
      </c>
      <c r="C79" s="369" t="n">
        <v>734.001</v>
      </c>
      <c r="D79" s="369" t="n">
        <v>734.001</v>
      </c>
      <c r="E79" s="165" t="n">
        <v>1</v>
      </c>
      <c r="F79" s="165" t="n">
        <v>0</v>
      </c>
      <c r="G79" s="369" t="n">
        <v>734.001</v>
      </c>
      <c r="H79" s="369" t="n">
        <v>0</v>
      </c>
      <c r="I79" s="167" t="n">
        <v>0.00145865927422068</v>
      </c>
      <c r="J79" s="165" t="n">
        <v>75</v>
      </c>
    </row>
    <row r="80" customFormat="false" ht="15.75" hidden="false" customHeight="true" outlineLevel="0" collapsed="false">
      <c r="A80" s="194" t="s">
        <v>329</v>
      </c>
      <c r="B80" s="170" t="n">
        <v>1</v>
      </c>
      <c r="C80" s="370" t="n">
        <v>700.102</v>
      </c>
      <c r="D80" s="370" t="n">
        <v>700.102</v>
      </c>
      <c r="E80" s="170" t="n">
        <v>1</v>
      </c>
      <c r="F80" s="170" t="n">
        <v>0</v>
      </c>
      <c r="G80" s="370" t="n">
        <v>700.102</v>
      </c>
      <c r="H80" s="370" t="n">
        <v>0</v>
      </c>
      <c r="I80" s="172" t="n">
        <v>0.00139129275736743</v>
      </c>
      <c r="J80" s="170" t="n">
        <v>76</v>
      </c>
    </row>
    <row r="81" customFormat="false" ht="15.75" hidden="false" customHeight="true" outlineLevel="0" collapsed="false">
      <c r="A81" s="187" t="s">
        <v>1179</v>
      </c>
      <c r="B81" s="165" t="n">
        <v>1</v>
      </c>
      <c r="C81" s="369" t="n">
        <v>680.63</v>
      </c>
      <c r="D81" s="369" t="n">
        <v>680.63</v>
      </c>
      <c r="E81" s="165" t="n">
        <v>1</v>
      </c>
      <c r="F81" s="165" t="n">
        <v>0</v>
      </c>
      <c r="G81" s="369" t="n">
        <v>680.63</v>
      </c>
      <c r="H81" s="369" t="n">
        <v>0</v>
      </c>
      <c r="I81" s="167" t="n">
        <v>0.0013525966065616</v>
      </c>
      <c r="J81" s="165" t="n">
        <v>77</v>
      </c>
    </row>
    <row r="82" customFormat="false" ht="15.75" hidden="false" customHeight="true" outlineLevel="0" collapsed="false">
      <c r="A82" s="194" t="s">
        <v>1180</v>
      </c>
      <c r="B82" s="170" t="n">
        <v>1</v>
      </c>
      <c r="C82" s="370" t="n">
        <v>650.0025</v>
      </c>
      <c r="D82" s="370" t="n">
        <v>650.0025</v>
      </c>
      <c r="E82" s="170" t="n">
        <v>1</v>
      </c>
      <c r="F82" s="170" t="n">
        <v>0</v>
      </c>
      <c r="G82" s="370" t="n">
        <v>650.0025</v>
      </c>
      <c r="H82" s="370" t="n">
        <v>0</v>
      </c>
      <c r="I82" s="172" t="n">
        <v>0.00129173144844711</v>
      </c>
      <c r="J82" s="170" t="n">
        <v>78</v>
      </c>
    </row>
    <row r="83" customFormat="false" ht="15.75" hidden="false" customHeight="true" outlineLevel="0" collapsed="false">
      <c r="A83" s="187" t="s">
        <v>1181</v>
      </c>
      <c r="B83" s="165" t="n">
        <v>1</v>
      </c>
      <c r="C83" s="369" t="n">
        <v>650.0025</v>
      </c>
      <c r="D83" s="369" t="n">
        <v>650.0025</v>
      </c>
      <c r="E83" s="165" t="n">
        <v>1</v>
      </c>
      <c r="F83" s="165" t="n">
        <v>0</v>
      </c>
      <c r="G83" s="369" t="n">
        <v>650.0025</v>
      </c>
      <c r="H83" s="369" t="n">
        <v>0</v>
      </c>
      <c r="I83" s="167" t="n">
        <v>0.00129173144844711</v>
      </c>
      <c r="J83" s="165" t="n">
        <v>79</v>
      </c>
    </row>
    <row r="84" customFormat="false" ht="15.75" hidden="false" customHeight="true" outlineLevel="0" collapsed="false">
      <c r="A84" s="194" t="s">
        <v>1182</v>
      </c>
      <c r="B84" s="170" t="n">
        <v>1</v>
      </c>
      <c r="C84" s="370" t="n">
        <v>590</v>
      </c>
      <c r="D84" s="370" t="n">
        <v>590</v>
      </c>
      <c r="E84" s="170" t="n">
        <v>1</v>
      </c>
      <c r="F84" s="170" t="n">
        <v>0</v>
      </c>
      <c r="G84" s="370" t="n">
        <v>590</v>
      </c>
      <c r="H84" s="370" t="n">
        <v>0</v>
      </c>
      <c r="I84" s="172" t="n">
        <v>0.00117249018978203</v>
      </c>
      <c r="J84" s="170" t="n">
        <v>80</v>
      </c>
    </row>
    <row r="85" customFormat="false" ht="15.75" hidden="false" customHeight="true" outlineLevel="0" collapsed="false">
      <c r="A85" s="187" t="s">
        <v>489</v>
      </c>
      <c r="B85" s="165" t="n">
        <v>1</v>
      </c>
      <c r="C85" s="369" t="n">
        <v>580</v>
      </c>
      <c r="D85" s="369" t="n">
        <v>580</v>
      </c>
      <c r="E85" s="165" t="n">
        <v>0</v>
      </c>
      <c r="F85" s="165" t="n">
        <v>1</v>
      </c>
      <c r="G85" s="369" t="n">
        <v>0</v>
      </c>
      <c r="H85" s="369" t="n">
        <v>580</v>
      </c>
      <c r="I85" s="167" t="n">
        <v>0.00115261747470098</v>
      </c>
      <c r="J85" s="165" t="n">
        <v>81</v>
      </c>
    </row>
    <row r="86" customFormat="false" ht="15.75" hidden="false" customHeight="true" outlineLevel="0" collapsed="false">
      <c r="A86" s="194" t="s">
        <v>1183</v>
      </c>
      <c r="B86" s="170" t="n">
        <v>1</v>
      </c>
      <c r="C86" s="370" t="n">
        <v>469.9906</v>
      </c>
      <c r="D86" s="370" t="n">
        <v>469.9906</v>
      </c>
      <c r="E86" s="170" t="n">
        <v>1</v>
      </c>
      <c r="F86" s="170" t="n">
        <v>0</v>
      </c>
      <c r="G86" s="370" t="n">
        <v>469.9906</v>
      </c>
      <c r="H86" s="370" t="n">
        <v>0</v>
      </c>
      <c r="I86" s="172" t="n">
        <v>0.000933998928457241</v>
      </c>
      <c r="J86" s="170" t="n">
        <v>82</v>
      </c>
    </row>
    <row r="87" customFormat="false" ht="15.75" hidden="false" customHeight="true" outlineLevel="0" collapsed="false">
      <c r="A87" s="187" t="s">
        <v>1184</v>
      </c>
      <c r="B87" s="165" t="n">
        <v>2</v>
      </c>
      <c r="C87" s="369" t="n">
        <v>460</v>
      </c>
      <c r="D87" s="369" t="n">
        <v>230</v>
      </c>
      <c r="E87" s="165" t="n">
        <v>0</v>
      </c>
      <c r="F87" s="165" t="n">
        <v>2</v>
      </c>
      <c r="G87" s="369" t="n">
        <v>0</v>
      </c>
      <c r="H87" s="369" t="n">
        <v>460</v>
      </c>
      <c r="I87" s="167" t="n">
        <v>0.000914144893728366</v>
      </c>
      <c r="J87" s="165" t="n">
        <v>83</v>
      </c>
    </row>
    <row r="88" customFormat="false" ht="15.75" hidden="false" customHeight="true" outlineLevel="0" collapsed="false">
      <c r="A88" s="194" t="s">
        <v>1069</v>
      </c>
      <c r="B88" s="170" t="n">
        <v>1</v>
      </c>
      <c r="C88" s="370" t="n">
        <v>460</v>
      </c>
      <c r="D88" s="370" t="n">
        <v>460</v>
      </c>
      <c r="E88" s="170" t="n">
        <v>0</v>
      </c>
      <c r="F88" s="170" t="n">
        <v>1</v>
      </c>
      <c r="G88" s="370" t="n">
        <v>0</v>
      </c>
      <c r="H88" s="370" t="n">
        <v>460</v>
      </c>
      <c r="I88" s="172" t="n">
        <v>0.000914144893728366</v>
      </c>
      <c r="J88" s="170" t="n">
        <v>84</v>
      </c>
    </row>
    <row r="89" customFormat="false" ht="15.75" hidden="false" customHeight="true" outlineLevel="0" collapsed="false">
      <c r="A89" s="187" t="s">
        <v>1088</v>
      </c>
      <c r="B89" s="165" t="n">
        <v>1</v>
      </c>
      <c r="C89" s="369" t="n">
        <v>460</v>
      </c>
      <c r="D89" s="369" t="n">
        <v>460</v>
      </c>
      <c r="E89" s="165" t="n">
        <v>0</v>
      </c>
      <c r="F89" s="165" t="n">
        <v>1</v>
      </c>
      <c r="G89" s="369" t="n">
        <v>0</v>
      </c>
      <c r="H89" s="369" t="n">
        <v>460</v>
      </c>
      <c r="I89" s="167" t="n">
        <v>0.000914144893728366</v>
      </c>
      <c r="J89" s="165" t="n">
        <v>85</v>
      </c>
    </row>
    <row r="90" customFormat="false" ht="15.75" hidden="false" customHeight="true" outlineLevel="0" collapsed="false">
      <c r="A90" s="194" t="s">
        <v>1097</v>
      </c>
      <c r="B90" s="170" t="n">
        <v>1</v>
      </c>
      <c r="C90" s="370" t="n">
        <v>460</v>
      </c>
      <c r="D90" s="370" t="n">
        <v>460</v>
      </c>
      <c r="E90" s="170" t="n">
        <v>0</v>
      </c>
      <c r="F90" s="170" t="n">
        <v>1</v>
      </c>
      <c r="G90" s="370" t="n">
        <v>0</v>
      </c>
      <c r="H90" s="370" t="n">
        <v>460</v>
      </c>
      <c r="I90" s="172" t="n">
        <v>0.000914144893728366</v>
      </c>
      <c r="J90" s="170" t="n">
        <v>86</v>
      </c>
    </row>
    <row r="91" customFormat="false" ht="15.75" hidden="false" customHeight="true" outlineLevel="0" collapsed="false">
      <c r="A91" s="187" t="s">
        <v>499</v>
      </c>
      <c r="B91" s="165" t="n">
        <v>1</v>
      </c>
      <c r="C91" s="369" t="n">
        <v>460</v>
      </c>
      <c r="D91" s="369" t="n">
        <v>460</v>
      </c>
      <c r="E91" s="165" t="n">
        <v>0</v>
      </c>
      <c r="F91" s="165" t="n">
        <v>1</v>
      </c>
      <c r="G91" s="369" t="n">
        <v>0</v>
      </c>
      <c r="H91" s="369" t="n">
        <v>460</v>
      </c>
      <c r="I91" s="167" t="n">
        <v>0.000914144893728366</v>
      </c>
      <c r="J91" s="165" t="n">
        <v>87</v>
      </c>
    </row>
    <row r="92" customFormat="false" ht="15.75" hidden="false" customHeight="true" outlineLevel="0" collapsed="false">
      <c r="A92" s="194" t="s">
        <v>1185</v>
      </c>
      <c r="B92" s="170" t="n">
        <v>1</v>
      </c>
      <c r="C92" s="370" t="n">
        <v>460</v>
      </c>
      <c r="D92" s="370" t="n">
        <v>460</v>
      </c>
      <c r="E92" s="170" t="n">
        <v>0</v>
      </c>
      <c r="F92" s="170" t="n">
        <v>1</v>
      </c>
      <c r="G92" s="370" t="n">
        <v>0</v>
      </c>
      <c r="H92" s="370" t="n">
        <v>460</v>
      </c>
      <c r="I92" s="172" t="n">
        <v>0.000914144893728366</v>
      </c>
      <c r="J92" s="170" t="n">
        <v>88</v>
      </c>
    </row>
    <row r="93" customFormat="false" ht="15.75" hidden="false" customHeight="true" outlineLevel="0" collapsed="false">
      <c r="A93" s="187" t="s">
        <v>1186</v>
      </c>
      <c r="B93" s="165" t="n">
        <v>1</v>
      </c>
      <c r="C93" s="369" t="n">
        <v>460</v>
      </c>
      <c r="D93" s="369" t="n">
        <v>460</v>
      </c>
      <c r="E93" s="165" t="n">
        <v>0</v>
      </c>
      <c r="F93" s="165" t="n">
        <v>1</v>
      </c>
      <c r="G93" s="369" t="n">
        <v>0</v>
      </c>
      <c r="H93" s="369" t="n">
        <v>460</v>
      </c>
      <c r="I93" s="167" t="n">
        <v>0.000914144893728366</v>
      </c>
      <c r="J93" s="165" t="n">
        <v>89</v>
      </c>
    </row>
    <row r="94" customFormat="false" ht="15.75" hidden="false" customHeight="true" outlineLevel="0" collapsed="false">
      <c r="A94" s="194" t="s">
        <v>1086</v>
      </c>
      <c r="B94" s="170" t="n">
        <v>1</v>
      </c>
      <c r="C94" s="370" t="n">
        <v>460</v>
      </c>
      <c r="D94" s="370" t="n">
        <v>460</v>
      </c>
      <c r="E94" s="170" t="n">
        <v>0</v>
      </c>
      <c r="F94" s="170" t="n">
        <v>1</v>
      </c>
      <c r="G94" s="370" t="n">
        <v>0</v>
      </c>
      <c r="H94" s="370" t="n">
        <v>460</v>
      </c>
      <c r="I94" s="172" t="n">
        <v>0.000914144893728366</v>
      </c>
      <c r="J94" s="170" t="n">
        <v>90</v>
      </c>
    </row>
    <row r="95" customFormat="false" ht="15.75" hidden="false" customHeight="true" outlineLevel="0" collapsed="false">
      <c r="A95" s="187" t="s">
        <v>471</v>
      </c>
      <c r="B95" s="165" t="n">
        <v>1</v>
      </c>
      <c r="C95" s="369" t="n">
        <v>460</v>
      </c>
      <c r="D95" s="369" t="n">
        <v>460</v>
      </c>
      <c r="E95" s="165" t="n">
        <v>0</v>
      </c>
      <c r="F95" s="165" t="n">
        <v>1</v>
      </c>
      <c r="G95" s="369" t="n">
        <v>0</v>
      </c>
      <c r="H95" s="369" t="n">
        <v>460</v>
      </c>
      <c r="I95" s="167" t="n">
        <v>0.000914144893728366</v>
      </c>
      <c r="J95" s="165" t="n">
        <v>91</v>
      </c>
    </row>
    <row r="96" customFormat="false" ht="15.75" hidden="false" customHeight="true" outlineLevel="0" collapsed="false">
      <c r="A96" s="194" t="s">
        <v>1187</v>
      </c>
      <c r="B96" s="170" t="n">
        <v>1</v>
      </c>
      <c r="C96" s="370" t="n">
        <v>460</v>
      </c>
      <c r="D96" s="370" t="n">
        <v>460</v>
      </c>
      <c r="E96" s="170" t="n">
        <v>0</v>
      </c>
      <c r="F96" s="170" t="n">
        <v>1</v>
      </c>
      <c r="G96" s="370" t="n">
        <v>0</v>
      </c>
      <c r="H96" s="370" t="n">
        <v>460</v>
      </c>
      <c r="I96" s="172" t="n">
        <v>0.000914144893728366</v>
      </c>
      <c r="J96" s="170" t="n">
        <v>92</v>
      </c>
    </row>
    <row r="97" customFormat="false" ht="15.75" hidden="false" customHeight="true" outlineLevel="0" collapsed="false">
      <c r="A97" s="187" t="s">
        <v>760</v>
      </c>
      <c r="B97" s="165" t="n">
        <v>1</v>
      </c>
      <c r="C97" s="369" t="n">
        <v>460</v>
      </c>
      <c r="D97" s="369" t="n">
        <v>460</v>
      </c>
      <c r="E97" s="165" t="n">
        <v>0</v>
      </c>
      <c r="F97" s="165" t="n">
        <v>1</v>
      </c>
      <c r="G97" s="369" t="n">
        <v>0</v>
      </c>
      <c r="H97" s="369" t="n">
        <v>460</v>
      </c>
      <c r="I97" s="167" t="n">
        <v>0.000914144893728366</v>
      </c>
      <c r="J97" s="165" t="n">
        <v>93</v>
      </c>
    </row>
    <row r="98" customFormat="false" ht="15.75" hidden="false" customHeight="true" outlineLevel="0" collapsed="false">
      <c r="A98" s="194" t="s">
        <v>1188</v>
      </c>
      <c r="B98" s="170" t="n">
        <v>2</v>
      </c>
      <c r="C98" s="370" t="n">
        <v>460</v>
      </c>
      <c r="D98" s="370" t="n">
        <v>230</v>
      </c>
      <c r="E98" s="170" t="n">
        <v>0</v>
      </c>
      <c r="F98" s="170" t="n">
        <v>2</v>
      </c>
      <c r="G98" s="370" t="n">
        <v>0</v>
      </c>
      <c r="H98" s="370" t="n">
        <v>460</v>
      </c>
      <c r="I98" s="172" t="n">
        <v>0.000914144893728366</v>
      </c>
      <c r="J98" s="170" t="n">
        <v>94</v>
      </c>
    </row>
    <row r="99" customFormat="false" ht="15.75" hidden="false" customHeight="true" outlineLevel="0" collapsed="false">
      <c r="A99" s="187" t="s">
        <v>459</v>
      </c>
      <c r="B99" s="165" t="n">
        <v>1</v>
      </c>
      <c r="C99" s="369" t="n">
        <v>460</v>
      </c>
      <c r="D99" s="369" t="n">
        <v>460</v>
      </c>
      <c r="E99" s="165" t="n">
        <v>0</v>
      </c>
      <c r="F99" s="165" t="n">
        <v>1</v>
      </c>
      <c r="G99" s="369" t="n">
        <v>0</v>
      </c>
      <c r="H99" s="369" t="n">
        <v>460</v>
      </c>
      <c r="I99" s="167" t="n">
        <v>0.000914144893728366</v>
      </c>
      <c r="J99" s="165" t="n">
        <v>95</v>
      </c>
    </row>
    <row r="100" customFormat="false" ht="15.75" hidden="false" customHeight="true" outlineLevel="0" collapsed="false">
      <c r="A100" s="194" t="s">
        <v>1016</v>
      </c>
      <c r="B100" s="170" t="n">
        <v>1</v>
      </c>
      <c r="C100" s="370" t="n">
        <v>460</v>
      </c>
      <c r="D100" s="370" t="n">
        <v>460</v>
      </c>
      <c r="E100" s="170" t="n">
        <v>0</v>
      </c>
      <c r="F100" s="170" t="n">
        <v>1</v>
      </c>
      <c r="G100" s="370" t="n">
        <v>0</v>
      </c>
      <c r="H100" s="370" t="n">
        <v>460</v>
      </c>
      <c r="I100" s="172" t="n">
        <v>0.000914144893728366</v>
      </c>
      <c r="J100" s="170" t="n">
        <v>96</v>
      </c>
    </row>
    <row r="101" customFormat="false" ht="15.75" hidden="false" customHeight="true" outlineLevel="0" collapsed="false">
      <c r="A101" s="187" t="s">
        <v>1189</v>
      </c>
      <c r="B101" s="165" t="n">
        <v>1</v>
      </c>
      <c r="C101" s="369" t="n">
        <v>460</v>
      </c>
      <c r="D101" s="369" t="n">
        <v>460</v>
      </c>
      <c r="E101" s="165" t="n">
        <v>0</v>
      </c>
      <c r="F101" s="165" t="n">
        <v>1</v>
      </c>
      <c r="G101" s="369" t="n">
        <v>0</v>
      </c>
      <c r="H101" s="369" t="n">
        <v>460</v>
      </c>
      <c r="I101" s="167" t="n">
        <v>0.000914144893728366</v>
      </c>
      <c r="J101" s="165" t="n">
        <v>97</v>
      </c>
    </row>
    <row r="102" customFormat="false" ht="15.75" hidden="false" customHeight="true" outlineLevel="0" collapsed="false">
      <c r="A102" s="194" t="s">
        <v>428</v>
      </c>
      <c r="B102" s="170" t="n">
        <v>1</v>
      </c>
      <c r="C102" s="370" t="n">
        <v>460</v>
      </c>
      <c r="D102" s="370" t="n">
        <v>460</v>
      </c>
      <c r="E102" s="170" t="n">
        <v>0</v>
      </c>
      <c r="F102" s="170" t="n">
        <v>1</v>
      </c>
      <c r="G102" s="370" t="n">
        <v>0</v>
      </c>
      <c r="H102" s="370" t="n">
        <v>460</v>
      </c>
      <c r="I102" s="172" t="n">
        <v>0.000914144893728366</v>
      </c>
      <c r="J102" s="170" t="n">
        <v>98</v>
      </c>
    </row>
    <row r="103" customFormat="false" ht="15.75" hidden="false" customHeight="true" outlineLevel="0" collapsed="false">
      <c r="A103" s="187" t="s">
        <v>1190</v>
      </c>
      <c r="B103" s="165" t="n">
        <v>1</v>
      </c>
      <c r="C103" s="369" t="n">
        <v>460</v>
      </c>
      <c r="D103" s="369" t="n">
        <v>460</v>
      </c>
      <c r="E103" s="165" t="n">
        <v>0</v>
      </c>
      <c r="F103" s="165" t="n">
        <v>1</v>
      </c>
      <c r="G103" s="369" t="n">
        <v>0</v>
      </c>
      <c r="H103" s="369" t="n">
        <v>460</v>
      </c>
      <c r="I103" s="167" t="n">
        <v>0.000914144893728366</v>
      </c>
      <c r="J103" s="165" t="n">
        <v>99</v>
      </c>
    </row>
    <row r="104" customFormat="false" ht="15.75" hidden="false" customHeight="true" outlineLevel="0" collapsed="false">
      <c r="A104" s="194" t="s">
        <v>1191</v>
      </c>
      <c r="B104" s="170" t="n">
        <v>1</v>
      </c>
      <c r="C104" s="370" t="n">
        <v>460</v>
      </c>
      <c r="D104" s="370" t="n">
        <v>460</v>
      </c>
      <c r="E104" s="170" t="n">
        <v>0</v>
      </c>
      <c r="F104" s="170" t="n">
        <v>1</v>
      </c>
      <c r="G104" s="370" t="n">
        <v>0</v>
      </c>
      <c r="H104" s="370" t="n">
        <v>460</v>
      </c>
      <c r="I104" s="172" t="n">
        <v>0.000914144893728366</v>
      </c>
      <c r="J104" s="170" t="n">
        <v>100</v>
      </c>
    </row>
    <row r="105" customFormat="false" ht="15.75" hidden="false" customHeight="true" outlineLevel="0" collapsed="false">
      <c r="A105" s="187" t="s">
        <v>492</v>
      </c>
      <c r="B105" s="165" t="n">
        <v>2</v>
      </c>
      <c r="C105" s="369" t="n">
        <v>460</v>
      </c>
      <c r="D105" s="369" t="n">
        <v>230</v>
      </c>
      <c r="E105" s="165" t="n">
        <v>0</v>
      </c>
      <c r="F105" s="165" t="n">
        <v>2</v>
      </c>
      <c r="G105" s="369" t="n">
        <v>0</v>
      </c>
      <c r="H105" s="369" t="n">
        <v>460</v>
      </c>
      <c r="I105" s="167" t="n">
        <v>0.000914144893728366</v>
      </c>
      <c r="J105" s="165" t="n">
        <v>101</v>
      </c>
    </row>
    <row r="106" customFormat="false" ht="15.75" hidden="false" customHeight="true" outlineLevel="0" collapsed="false">
      <c r="A106" s="194" t="s">
        <v>1192</v>
      </c>
      <c r="B106" s="170" t="n">
        <v>1</v>
      </c>
      <c r="C106" s="370" t="n">
        <v>342.0024</v>
      </c>
      <c r="D106" s="370" t="n">
        <v>342.0024</v>
      </c>
      <c r="E106" s="170" t="n">
        <v>1</v>
      </c>
      <c r="F106" s="170" t="n">
        <v>0</v>
      </c>
      <c r="G106" s="370" t="n">
        <v>342.0024</v>
      </c>
      <c r="H106" s="370" t="n">
        <v>0</v>
      </c>
      <c r="I106" s="172" t="n">
        <v>0.000679651625223578</v>
      </c>
      <c r="J106" s="170" t="n">
        <v>102</v>
      </c>
    </row>
    <row r="107" customFormat="false" ht="15.75" hidden="false" customHeight="true" outlineLevel="0" collapsed="false">
      <c r="A107" s="187" t="s">
        <v>140</v>
      </c>
      <c r="B107" s="165" t="n">
        <v>1</v>
      </c>
      <c r="C107" s="369" t="n">
        <v>292</v>
      </c>
      <c r="D107" s="369" t="n">
        <v>292</v>
      </c>
      <c r="E107" s="165" t="n">
        <v>1</v>
      </c>
      <c r="F107" s="165" t="n">
        <v>0</v>
      </c>
      <c r="G107" s="369" t="n">
        <v>292</v>
      </c>
      <c r="H107" s="369" t="n">
        <v>0</v>
      </c>
      <c r="I107" s="167" t="n">
        <v>0.000580283280366702</v>
      </c>
      <c r="J107" s="165" t="n">
        <v>103</v>
      </c>
    </row>
    <row r="108" customFormat="false" ht="15.75" hidden="false" customHeight="true" outlineLevel="0" collapsed="false">
      <c r="A108" s="194" t="s">
        <v>1193</v>
      </c>
      <c r="B108" s="170" t="n">
        <v>1</v>
      </c>
      <c r="C108" s="370" t="n">
        <v>0</v>
      </c>
      <c r="D108" s="370" t="n">
        <v>0</v>
      </c>
      <c r="E108" s="170" t="n">
        <v>0</v>
      </c>
      <c r="F108" s="170" t="n">
        <v>1</v>
      </c>
      <c r="G108" s="370" t="n">
        <v>0</v>
      </c>
      <c r="H108" s="370" t="n">
        <v>0</v>
      </c>
      <c r="I108" s="172" t="n">
        <v>0</v>
      </c>
      <c r="J108" s="170" t="n">
        <v>104</v>
      </c>
    </row>
    <row r="109" customFormat="false" ht="15.75" hidden="false" customHeight="true" outlineLevel="0" collapsed="false">
      <c r="A109" s="187" t="s">
        <v>1194</v>
      </c>
      <c r="B109" s="165" t="n">
        <v>1</v>
      </c>
      <c r="C109" s="369" t="n">
        <v>0</v>
      </c>
      <c r="D109" s="369" t="n">
        <v>0</v>
      </c>
      <c r="E109" s="165" t="n">
        <v>0</v>
      </c>
      <c r="F109" s="165" t="n">
        <v>1</v>
      </c>
      <c r="G109" s="369" t="n">
        <v>0</v>
      </c>
      <c r="H109" s="369" t="n">
        <v>0</v>
      </c>
      <c r="I109" s="167" t="n">
        <v>0</v>
      </c>
      <c r="J109" s="165" t="n">
        <v>105</v>
      </c>
    </row>
    <row r="110" customFormat="false" ht="15.75" hidden="false" customHeight="true" outlineLevel="0" collapsed="false">
      <c r="A110" s="194" t="s">
        <v>1012</v>
      </c>
      <c r="B110" s="170" t="n">
        <v>1</v>
      </c>
      <c r="C110" s="370" t="n">
        <v>0</v>
      </c>
      <c r="D110" s="370" t="n">
        <v>0</v>
      </c>
      <c r="E110" s="170" t="n">
        <v>1</v>
      </c>
      <c r="F110" s="170" t="n">
        <v>0</v>
      </c>
      <c r="G110" s="370" t="n">
        <v>0</v>
      </c>
      <c r="H110" s="370" t="n">
        <v>0</v>
      </c>
      <c r="I110" s="172" t="n">
        <v>0</v>
      </c>
      <c r="J110" s="170" t="n">
        <v>106</v>
      </c>
    </row>
    <row r="111" customFormat="false" ht="15.75" hidden="false" customHeight="true" outlineLevel="0" collapsed="false">
      <c r="A111" s="187" t="s">
        <v>1195</v>
      </c>
      <c r="B111" s="165" t="n">
        <v>1</v>
      </c>
      <c r="C111" s="369" t="n">
        <v>0</v>
      </c>
      <c r="D111" s="369" t="n">
        <v>0</v>
      </c>
      <c r="E111" s="165" t="n">
        <v>1</v>
      </c>
      <c r="F111" s="165" t="n">
        <v>0</v>
      </c>
      <c r="G111" s="369" t="n">
        <v>0</v>
      </c>
      <c r="H111" s="369" t="n">
        <v>0</v>
      </c>
      <c r="I111" s="167" t="n">
        <v>0</v>
      </c>
      <c r="J111" s="165" t="n">
        <v>107</v>
      </c>
    </row>
    <row r="112" customFormat="false" ht="15.75" hidden="false" customHeight="true" outlineLevel="0" collapsed="false">
      <c r="A112" s="194" t="s">
        <v>228</v>
      </c>
      <c r="B112" s="170" t="n">
        <v>1</v>
      </c>
      <c r="C112" s="370" t="n">
        <v>0</v>
      </c>
      <c r="D112" s="370" t="n">
        <v>0</v>
      </c>
      <c r="E112" s="170" t="n">
        <v>1</v>
      </c>
      <c r="F112" s="170" t="n">
        <v>0</v>
      </c>
      <c r="G112" s="370" t="n">
        <v>0</v>
      </c>
      <c r="H112" s="370" t="n">
        <v>0</v>
      </c>
      <c r="I112" s="172" t="n">
        <v>0</v>
      </c>
      <c r="J112" s="170" t="n">
        <v>108</v>
      </c>
    </row>
    <row r="113" customFormat="false" ht="19.5" hidden="false" customHeight="true" outlineLevel="0" collapsed="false">
      <c r="A113" s="358" t="s">
        <v>961</v>
      </c>
      <c r="B113" s="359" t="n">
        <f aca="false">SUBTOTAL(9,B5:B112)</f>
        <v>205</v>
      </c>
      <c r="C113" s="361" t="n">
        <f aca="false">SUBTOTAL(9,C5:C112)</f>
        <v>503202.5045</v>
      </c>
      <c r="D113" s="361" t="n">
        <f aca="false">AVERAGE(D5:D112)</f>
        <v>2726.4709636929</v>
      </c>
      <c r="E113" s="362"/>
      <c r="F113" s="362"/>
      <c r="G113" s="362"/>
      <c r="H113" s="362"/>
      <c r="I113" s="362"/>
      <c r="J113" s="362"/>
    </row>
    <row r="114" customFormat="false" ht="6.75" hidden="false" customHeight="true" outlineLevel="0" collapsed="false">
      <c r="A114" s="296"/>
      <c r="B114" s="296"/>
      <c r="C114" s="296"/>
      <c r="D114" s="296"/>
      <c r="E114" s="296"/>
      <c r="F114" s="296"/>
      <c r="G114" s="296"/>
      <c r="H114" s="296"/>
      <c r="I114" s="296"/>
      <c r="J114" s="296"/>
    </row>
    <row r="115" customFormat="false" ht="21.75" hidden="false" customHeight="true" outlineLevel="0" collapsed="false">
      <c r="A115" s="202" t="s">
        <v>1196</v>
      </c>
      <c r="B115" s="202"/>
      <c r="C115" s="202"/>
      <c r="D115" s="202"/>
      <c r="E115" s="202"/>
      <c r="F115" s="202"/>
      <c r="G115" s="202"/>
      <c r="H115" s="202"/>
      <c r="I115" s="202"/>
      <c r="J115" s="202"/>
    </row>
    <row r="116" customFormat="false" ht="15" hidden="false" customHeight="true" outlineLevel="0" collapsed="false">
      <c r="A116" s="367" t="s">
        <v>21</v>
      </c>
      <c r="B116" s="368" t="n">
        <v>42368.9154</v>
      </c>
    </row>
    <row r="117" customFormat="false" ht="15" hidden="false" customHeight="true" outlineLevel="0" collapsed="false">
      <c r="A117" s="367" t="s">
        <v>125</v>
      </c>
      <c r="B117" s="368" t="n">
        <v>34014.4777</v>
      </c>
    </row>
    <row r="118" customFormat="false" ht="15" hidden="false" customHeight="true" outlineLevel="0" collapsed="false">
      <c r="A118" s="367" t="s">
        <v>30</v>
      </c>
      <c r="B118" s="368" t="n">
        <v>20674.1535</v>
      </c>
    </row>
    <row r="119" customFormat="false" ht="15" hidden="false" customHeight="true" outlineLevel="0" collapsed="false">
      <c r="A119" s="367" t="s">
        <v>216</v>
      </c>
      <c r="B119" s="368" t="n">
        <v>19739.818</v>
      </c>
    </row>
    <row r="120" customFormat="false" ht="15" hidden="false" customHeight="true" outlineLevel="0" collapsed="false">
      <c r="A120" s="367" t="s">
        <v>78</v>
      </c>
      <c r="B120" s="368" t="n">
        <v>17737.8846</v>
      </c>
    </row>
    <row r="121" customFormat="false" ht="15" hidden="false" customHeight="true" outlineLevel="0" collapsed="false">
      <c r="A121" s="367" t="s">
        <v>1197</v>
      </c>
      <c r="B121" s="368" t="n">
        <v>15682</v>
      </c>
    </row>
    <row r="122" customFormat="false" ht="15" hidden="false" customHeight="true" outlineLevel="0" collapsed="false">
      <c r="A122" s="367" t="s">
        <v>44</v>
      </c>
      <c r="B122" s="368" t="n">
        <v>14588.281</v>
      </c>
    </row>
    <row r="123" customFormat="false" ht="15" hidden="false" customHeight="true" outlineLevel="0" collapsed="false">
      <c r="A123" s="367" t="s">
        <v>27</v>
      </c>
      <c r="B123" s="368" t="n">
        <v>14387.3845</v>
      </c>
    </row>
    <row r="124" customFormat="false" ht="15" hidden="false" customHeight="true" outlineLevel="0" collapsed="false">
      <c r="A124" s="367" t="s">
        <v>50</v>
      </c>
      <c r="B124" s="368" t="n">
        <v>13702.25</v>
      </c>
    </row>
    <row r="125" customFormat="false" ht="15" hidden="false" customHeight="true" outlineLevel="0" collapsed="false">
      <c r="A125" s="367" t="s">
        <v>53</v>
      </c>
      <c r="B125" s="368" t="n">
        <v>13457.86</v>
      </c>
    </row>
  </sheetData>
  <mergeCells count="5">
    <mergeCell ref="A1:J1"/>
    <mergeCell ref="A2:J2"/>
    <mergeCell ref="A3:J3"/>
    <mergeCell ref="A114:J114"/>
    <mergeCell ref="A115:J1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2026-04-09T06:02:39Z</dcterms:created>
  <dc:creator>openpyxl</dc:creator>
  <dc:description/>
  <dc:language>en-US</dc:language>
  <cp:lastModifiedBy/>
  <dcterms:modified xsi:type="dcterms:W3CDTF">2026-04-09T06:03:58Z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